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olitechnikawroclawska-my.sharepoint.com/personal/280952_student_pwr_edu_pl/Documents/semestr4/AiZO/projekt/SortingAlgorithmsComparison/benchmarks_results(complete)/"/>
    </mc:Choice>
  </mc:AlternateContent>
  <xr:revisionPtr revIDLastSave="1478" documentId="8_{6A30FB65-3B51-4A8E-BBCC-78D28216F981}" xr6:coauthVersionLast="47" xr6:coauthVersionMax="47" xr10:uidLastSave="{E650B04D-2175-4B90-8F7A-590110765A32}"/>
  <bookViews>
    <workbookView minimized="1" xWindow="-28650" yWindow="1245" windowWidth="17280" windowHeight="9420" activeTab="1" xr2:uid="{19CB30A5-0B6C-4841-A2A3-92A1292A10EB}"/>
  </bookViews>
  <sheets>
    <sheet name="badanie 1" sheetId="1" r:id="rId1"/>
    <sheet name="badanie 2" sheetId="2" r:id="rId2"/>
    <sheet name="badanie 3" sheetId="3" r:id="rId3"/>
    <sheet name="badanie 1_3" sheetId="4" r:id="rId4"/>
  </sheet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<sst xmlns="http://schemas.openxmlformats.org/spreadsheetml/2006/main" count="729" uniqueCount="40">
  <si>
    <t>parametry badania</t>
  </si>
  <si>
    <t>wyniki</t>
  </si>
  <si>
    <t>algorytm</t>
  </si>
  <si>
    <t>dystrybucja</t>
  </si>
  <si>
    <t>typ danych</t>
  </si>
  <si>
    <t>pivot</t>
  </si>
  <si>
    <t>liczebność zbioru</t>
  </si>
  <si>
    <t>średni czas [ms]</t>
  </si>
  <si>
    <t>min [ms]</t>
  </si>
  <si>
    <t>max [ms]</t>
  </si>
  <si>
    <t>mediana [ms]</t>
  </si>
  <si>
    <t>odchylenie std.</t>
  </si>
  <si>
    <t>odstęp</t>
  </si>
  <si>
    <t>quick sort</t>
  </si>
  <si>
    <t>losowa</t>
  </si>
  <si>
    <t>int</t>
  </si>
  <si>
    <t>lewy</t>
  </si>
  <si>
    <t>shell sort</t>
  </si>
  <si>
    <t>shell</t>
  </si>
  <si>
    <t>prawy</t>
  </si>
  <si>
    <t>knuth</t>
  </si>
  <si>
    <t>losowy</t>
  </si>
  <si>
    <t>mediana</t>
  </si>
  <si>
    <t>insertion sort</t>
  </si>
  <si>
    <t>heap sort</t>
  </si>
  <si>
    <t>parametr pijaństwa</t>
  </si>
  <si>
    <t>rosnąca</t>
  </si>
  <si>
    <t>malejąca</t>
  </si>
  <si>
    <t>posortowane w 33%</t>
  </si>
  <si>
    <t>posortowane w 66%</t>
  </si>
  <si>
    <t>drunk shell sort</t>
  </si>
  <si>
    <t>float</t>
  </si>
  <si>
    <t>string</t>
  </si>
  <si>
    <t>board game</t>
  </si>
  <si>
    <t>Suma z średni czas [ms]</t>
  </si>
  <si>
    <t>Etykiety wierszy</t>
  </si>
  <si>
    <t>Suma końcowa</t>
  </si>
  <si>
    <t>Etykiety kolumn</t>
  </si>
  <si>
    <t>posortowane_w_33%</t>
  </si>
  <si>
    <t>posortowane_w_66%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</si>
</sst>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0" fillId="2" borderId="4" xfId="0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3" fontId="1" fillId="3" borderId="8" xfId="0" applyNumberFormat="1" applyFon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0" fontId="0" fillId="0" borderId="0" xfId="0" pivotButton="1"/>
    <xf numFmtId="2" fontId="0" fillId="0" borderId="0" xfId="0" applyNumberFormat="1"/>
    <xf numFmtId="3" fontId="0" fillId="0" borderId="0" xfId="0" applyNumberFormat="1" applyAlignment="1">
      <alignment horizontal="left"/>
    </xf>
    <xf numFmtId="3" fontId="2" fillId="2" borderId="0" xfId="0" applyNumberFormat="1" applyFont="1" applyFill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0" fillId="3" borderId="7" xfId="0" applyNumberForma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3" fontId="1" fillId="3" borderId="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1!Tabela przestawna13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sposobów wyboru pivota w Quick Sorcie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1'!$C$31:$C$32</c:f>
              <c:strCache>
                <c:ptCount val="1"/>
                <c:pt idx="0">
                  <c:v>lewy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1'!$B$33:$B$38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1'!$C$33:$C$38</c:f>
              <c:numCache>
                <c:formatCode>0.00</c:formatCode>
                <c:ptCount val="5"/>
                <c:pt idx="0">
                  <c:v>1.03</c:v>
                </c:pt>
                <c:pt idx="1">
                  <c:v>3</c:v>
                </c:pt>
                <c:pt idx="2">
                  <c:v>5.05</c:v>
                </c:pt>
                <c:pt idx="3">
                  <c:v>7.08</c:v>
                </c:pt>
                <c:pt idx="4">
                  <c:v>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B-40B6-8CD9-0FE6CDA129E9}"/>
            </c:ext>
          </c:extLst>
        </c:ser>
        <c:ser>
          <c:idx val="1"/>
          <c:order val="1"/>
          <c:tx>
            <c:strRef>
              <c:f>'badanie 1'!$D$31:$D$32</c:f>
              <c:strCache>
                <c:ptCount val="1"/>
                <c:pt idx="0">
                  <c:v>losowy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'badanie 1'!$B$33:$B$38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1'!$D$33:$D$38</c:f>
              <c:numCache>
                <c:formatCode>0.00</c:formatCode>
                <c:ptCount val="5"/>
                <c:pt idx="0">
                  <c:v>1.08</c:v>
                </c:pt>
                <c:pt idx="1">
                  <c:v>3.88</c:v>
                </c:pt>
                <c:pt idx="2">
                  <c:v>6.03</c:v>
                </c:pt>
                <c:pt idx="3">
                  <c:v>8.06</c:v>
                </c:pt>
                <c:pt idx="4">
                  <c:v>10.44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3FB-40B6-8CD9-0FE6CDA129E9}"/>
            </c:ext>
          </c:extLst>
        </c:ser>
        <c:ser>
          <c:idx val="2"/>
          <c:order val="2"/>
          <c:tx>
            <c:strRef>
              <c:f>'badanie 1'!$E$31:$E$32</c:f>
              <c:strCache>
                <c:ptCount val="1"/>
                <c:pt idx="0">
                  <c:v>mediana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'badanie 1'!$B$33:$B$38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1'!$E$33:$E$38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3FB-40B6-8CD9-0FE6CDA129E9}"/>
            </c:ext>
          </c:extLst>
        </c:ser>
        <c:ser>
          <c:idx val="3"/>
          <c:order val="3"/>
          <c:tx>
            <c:strRef>
              <c:f>'badanie 1'!$F$31:$F$32</c:f>
              <c:strCache>
                <c:ptCount val="1"/>
                <c:pt idx="0">
                  <c:v>prawy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'badanie 1'!$B$33:$B$38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1'!$F$33:$F$38</c:f>
              <c:numCache>
                <c:formatCode>0.00</c:formatCode>
                <c:ptCount val="5"/>
                <c:pt idx="0">
                  <c:v>1</c:v>
                </c:pt>
                <c:pt idx="1">
                  <c:v>3.07</c:v>
                </c:pt>
                <c:pt idx="2">
                  <c:v>5.0599999999999996</c:v>
                </c:pt>
                <c:pt idx="3">
                  <c:v>7.17</c:v>
                </c:pt>
                <c:pt idx="4">
                  <c:v>9.4600000000000009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3FB-40B6-8CD9-0FE6CDA12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670463"/>
        <c:axId val="1786671903"/>
      </c:barChart>
      <c:catAx>
        <c:axId val="178667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Liczebność</a:t>
                </a:r>
                <a:r>
                  <a:rPr lang="pl-PL" baseline="0"/>
                  <a:t> zbioru sortowanego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671903"/>
        <c:crosses val="autoZero"/>
        <c:auto val="1"/>
        <c:lblAlgn val="ctr"/>
        <c:lblOffset val="100"/>
        <c:noMultiLvlLbl val="0"/>
      </c:catAx>
      <c:valAx>
        <c:axId val="178667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67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1!Tabela przestawna14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wielkości odstępów w Shell Sorcie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1'!$O$30:$O$31</c:f>
              <c:strCache>
                <c:ptCount val="1"/>
                <c:pt idx="0">
                  <c:v>knuth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1'!$N$32:$N$37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1'!$O$32:$O$37</c:f>
              <c:numCache>
                <c:formatCode>0.00</c:formatCode>
                <c:ptCount val="5"/>
                <c:pt idx="0">
                  <c:v>3.04</c:v>
                </c:pt>
                <c:pt idx="1">
                  <c:v>6.88</c:v>
                </c:pt>
                <c:pt idx="2">
                  <c:v>11.08</c:v>
                </c:pt>
                <c:pt idx="3">
                  <c:v>15.74</c:v>
                </c:pt>
                <c:pt idx="4">
                  <c:v>20.64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AB9-A817-986B69A09AEC}"/>
            </c:ext>
          </c:extLst>
        </c:ser>
        <c:ser>
          <c:idx val="1"/>
          <c:order val="1"/>
          <c:tx>
            <c:strRef>
              <c:f>'badanie 1'!$P$30:$P$31</c:f>
              <c:strCache>
                <c:ptCount val="1"/>
                <c:pt idx="0">
                  <c:v>shell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'badanie 1'!$N$32:$N$37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1'!$P$32:$P$37</c:f>
              <c:numCache>
                <c:formatCode>0.00</c:formatCode>
                <c:ptCount val="5"/>
                <c:pt idx="0">
                  <c:v>3</c:v>
                </c:pt>
                <c:pt idx="1">
                  <c:v>7.42</c:v>
                </c:pt>
                <c:pt idx="2">
                  <c:v>11.9</c:v>
                </c:pt>
                <c:pt idx="3">
                  <c:v>17.829999999999998</c:v>
                </c:pt>
                <c:pt idx="4">
                  <c:v>23.06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0-4AB9-A817-986B69A09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82095"/>
        <c:axId val="175984495"/>
      </c:barChart>
      <c:catAx>
        <c:axId val="175982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Liczebność</a:t>
                </a:r>
                <a:r>
                  <a:rPr lang="pl-PL" baseline="0"/>
                  <a:t> zbioru sortowanego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984495"/>
        <c:crosses val="autoZero"/>
        <c:auto val="1"/>
        <c:lblAlgn val="ctr"/>
        <c:lblOffset val="100"/>
        <c:noMultiLvlLbl val="0"/>
      </c:catAx>
      <c:valAx>
        <c:axId val="1759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</a:t>
                </a:r>
                <a:r>
                  <a:rPr lang="pl-PL" baseline="0"/>
                  <a:t> czas sortowania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98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1!Tabela przestawna15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Analiza</a:t>
            </a:r>
            <a:r>
              <a:rPr lang="pl-PL" baseline="0"/>
              <a:t> algorytmu pijanego studenta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'badanie 1'!$Y$29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0677992000702899E-2"/>
                  <c:y val="1.756490529699660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cat>
            <c:strRef>
              <c:f>'badanie 1'!$X$30:$X$35</c:f>
              <c:strCach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strCache>
            </c:strRef>
          </c:cat>
          <c:val>
            <c:numRef>
              <c:f>'badanie 1'!$Y$30:$Y$35</c:f>
              <c:numCache>
                <c:formatCode>0.00</c:formatCode>
                <c:ptCount val="5"/>
                <c:pt idx="0">
                  <c:v>183.7</c:v>
                </c:pt>
                <c:pt idx="1">
                  <c:v>243.97</c:v>
                </c:pt>
                <c:pt idx="2">
                  <c:v>398.43</c:v>
                </c:pt>
                <c:pt idx="3">
                  <c:v>540.34</c:v>
                </c:pt>
                <c:pt idx="4">
                  <c:v>691.3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B-44FB-8770-F41966324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355455"/>
        <c:axId val="1257355935"/>
      </c:lineChart>
      <c:catAx>
        <c:axId val="125735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Poziom</a:t>
                </a:r>
                <a:r>
                  <a:rPr lang="pl-PL" baseline="0"/>
                  <a:t> pijaństwa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355935"/>
        <c:crosses val="autoZero"/>
        <c:auto val="1"/>
        <c:lblAlgn val="ctr"/>
        <c:lblOffset val="100"/>
        <c:noMultiLvlLbl val="0"/>
      </c:catAx>
      <c:valAx>
        <c:axId val="12573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</a:t>
                </a:r>
                <a:r>
                  <a:rPr lang="pl-PL" baseline="0"/>
                  <a:t> czas sortowania [ms]</a:t>
                </a: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35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1!Tabela przestawna16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Analiza</a:t>
            </a:r>
            <a:r>
              <a:rPr lang="pl-PL" baseline="0"/>
              <a:t> algorytmu Quick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'badanie 1'!$AL$31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0328406121059844E-2"/>
                  <c:y val="8.81926007810588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cat>
            <c:strRef>
              <c:f>'badanie 1'!$AK$32:$AK$37</c:f>
              <c:strCache>
                <c:ptCount val="5"/>
                <c:pt idx="0">
                  <c:v>20 000</c:v>
                </c:pt>
                <c:pt idx="1">
                  <c:v>30 000</c:v>
                </c:pt>
                <c:pt idx="2">
                  <c:v>40 000</c:v>
                </c:pt>
                <c:pt idx="3">
                  <c:v>50 000</c:v>
                </c:pt>
                <c:pt idx="4">
                  <c:v>100 000</c:v>
                </c:pt>
              </c:strCache>
            </c:strRef>
          </c:cat>
          <c:val>
            <c:numRef>
              <c:f>'badanie 1'!$AL$32:$AL$37</c:f>
              <c:numCache>
                <c:formatCode>0.00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8.98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E-4E14-9E24-DB7177FB3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350655"/>
        <c:axId val="1257354495"/>
      </c:lineChart>
      <c:catAx>
        <c:axId val="125735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Liczebność</a:t>
                </a:r>
                <a:r>
                  <a:rPr lang="pl-PL" baseline="0"/>
                  <a:t> zbioru sortowanego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354495"/>
        <c:crosses val="autoZero"/>
        <c:auto val="1"/>
        <c:lblAlgn val="ctr"/>
        <c:lblOffset val="100"/>
        <c:noMultiLvlLbl val="0"/>
      </c:catAx>
      <c:valAx>
        <c:axId val="12573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35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1!Tabela przestawna17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Analiza</a:t>
            </a:r>
            <a:r>
              <a:rPr lang="pl-PL" baseline="0"/>
              <a:t> algorytmu Shell Sort</a:t>
            </a:r>
            <a:endParaRPr lang="en-US"/>
          </a:p>
        </c:rich>
      </c:tx>
      <c:layout>
        <c:manualLayout>
          <c:xMode val="edge"/>
          <c:yMode val="edge"/>
          <c:x val="0.36559475259586377"/>
          <c:y val="0.103063004720259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'badanie 1'!$AW$31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742513347430596E-3"/>
                  <c:y val="-3.59929383799451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cat>
            <c:strRef>
              <c:f>'badanie 1'!$AV$32:$AV$37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1'!$AW$32:$AW$37</c:f>
              <c:numCache>
                <c:formatCode>0.00</c:formatCode>
                <c:ptCount val="5"/>
                <c:pt idx="0">
                  <c:v>3.04</c:v>
                </c:pt>
                <c:pt idx="1">
                  <c:v>6.88</c:v>
                </c:pt>
                <c:pt idx="2">
                  <c:v>11.08</c:v>
                </c:pt>
                <c:pt idx="3">
                  <c:v>15.74</c:v>
                </c:pt>
                <c:pt idx="4">
                  <c:v>20.64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F-4174-BE8C-1039FEC1C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81615"/>
        <c:axId val="175983535"/>
      </c:lineChart>
      <c:catAx>
        <c:axId val="17598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Liczebność</a:t>
                </a:r>
                <a:r>
                  <a:rPr lang="pl-PL" baseline="0"/>
                  <a:t> zbioru sortowanego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983535"/>
        <c:crosses val="autoZero"/>
        <c:auto val="1"/>
        <c:lblAlgn val="ctr"/>
        <c:lblOffset val="100"/>
        <c:noMultiLvlLbl val="0"/>
      </c:catAx>
      <c:valAx>
        <c:axId val="1759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98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1!Tabela przestawna18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Analiza</a:t>
            </a:r>
            <a:r>
              <a:rPr lang="pl-PL" baseline="0"/>
              <a:t> algorytmu Insertion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'badanie 1'!$BH$31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3.0950004305686781E-2"/>
                  <c:y val="-1.60635205792712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cat>
            <c:strRef>
              <c:f>'badanie 1'!$BG$32:$BG$37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1'!$BH$32:$BH$37</c:f>
              <c:numCache>
                <c:formatCode>0.00</c:formatCode>
                <c:ptCount val="5"/>
                <c:pt idx="0">
                  <c:v>259.2</c:v>
                </c:pt>
                <c:pt idx="1">
                  <c:v>1040.78</c:v>
                </c:pt>
                <c:pt idx="2">
                  <c:v>2315.52</c:v>
                </c:pt>
                <c:pt idx="3">
                  <c:v>4255.5</c:v>
                </c:pt>
                <c:pt idx="4">
                  <c:v>6374.8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6-41E0-BCE8-08EE74343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019199"/>
        <c:axId val="217019679"/>
      </c:lineChart>
      <c:catAx>
        <c:axId val="21701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Liczebność</a:t>
                </a:r>
                <a:r>
                  <a:rPr lang="pl-PL" baseline="0"/>
                  <a:t> zbioru sortowanego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7019679"/>
        <c:crosses val="autoZero"/>
        <c:auto val="1"/>
        <c:lblAlgn val="ctr"/>
        <c:lblOffset val="100"/>
        <c:noMultiLvlLbl val="0"/>
      </c:catAx>
      <c:valAx>
        <c:axId val="21701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701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1!Tabela przestawna19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Analiza</a:t>
            </a:r>
            <a:r>
              <a:rPr lang="pl-PL" baseline="0"/>
              <a:t> algorytmu Heap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'badanie 1'!$BS$31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270254326006868E-2"/>
                  <c:y val="-3.22924846002721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cat>
            <c:strRef>
              <c:f>'badanie 1'!$BR$32:$BR$37</c:f>
              <c:strCache>
                <c:ptCount val="5"/>
                <c:pt idx="0">
                  <c:v>10 000</c:v>
                </c:pt>
                <c:pt idx="1">
                  <c:v>20 000</c:v>
                </c:pt>
                <c:pt idx="2">
                  <c:v>30 000</c:v>
                </c:pt>
                <c:pt idx="3">
                  <c:v>40 000</c:v>
                </c:pt>
                <c:pt idx="4">
                  <c:v>50 000</c:v>
                </c:pt>
              </c:strCache>
            </c:strRef>
          </c:cat>
          <c:val>
            <c:numRef>
              <c:f>'badanie 1'!$BS$32:$BS$37</c:f>
              <c:numCache>
                <c:formatCode>0.00</c:formatCode>
                <c:ptCount val="5"/>
                <c:pt idx="0">
                  <c:v>3</c:v>
                </c:pt>
                <c:pt idx="1">
                  <c:v>7.06</c:v>
                </c:pt>
                <c:pt idx="2">
                  <c:v>11.02</c:v>
                </c:pt>
                <c:pt idx="3">
                  <c:v>15</c:v>
                </c:pt>
                <c:pt idx="4">
                  <c:v>19.03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5-40D8-B2C1-8E4F7AEFE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87375"/>
        <c:axId val="1111253695"/>
      </c:lineChart>
      <c:catAx>
        <c:axId val="17598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Liczebność zbioru sortowanego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3695"/>
        <c:crosses val="autoZero"/>
        <c:auto val="1"/>
        <c:lblAlgn val="ctr"/>
        <c:lblOffset val="100"/>
        <c:noMultiLvlLbl val="0"/>
      </c:catAx>
      <c:valAx>
        <c:axId val="11112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598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algorytmów sortowania</a:t>
            </a:r>
            <a:endParaRPr lang="pl-PL"/>
          </a:p>
        </c:rich>
      </c:tx>
      <c:layout>
        <c:manualLayout>
          <c:xMode val="edge"/>
          <c:yMode val="edge"/>
          <c:x val="0.25486847171414706"/>
          <c:y val="6.540817447673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428145388180521"/>
          <c:y val="0.20820813825529927"/>
          <c:w val="0.66512550439848772"/>
          <c:h val="0.62119986468377819"/>
        </c:manualLayout>
      </c:layout>
      <c:lineChart>
        <c:grouping val="standard"/>
        <c:varyColors val="0"/>
        <c:ser>
          <c:idx val="0"/>
          <c:order val="0"/>
          <c:tx>
            <c:strRef>
              <c:f>'badanie 1'!$AK$8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'badanie 1'!$BU$8:$BU$12</c:f>
              <c:numCache>
                <c:formatCode>#,##0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'badanie 1'!$AP$8:$AP$12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4-42BD-A2DB-D2055DE698CF}"/>
            </c:ext>
          </c:extLst>
        </c:ser>
        <c:ser>
          <c:idx val="1"/>
          <c:order val="1"/>
          <c:tx>
            <c:strRef>
              <c:f>'badanie 1'!$AV$8</c:f>
              <c:strCache>
                <c:ptCount val="1"/>
                <c:pt idx="0">
                  <c:v>shell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'badanie 1'!$BU$8:$BU$12</c:f>
              <c:numCache>
                <c:formatCode>#,##0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'badanie 1'!$BA$8:$BA$12</c:f>
              <c:numCache>
                <c:formatCode>0.00</c:formatCode>
                <c:ptCount val="5"/>
                <c:pt idx="0">
                  <c:v>3.04</c:v>
                </c:pt>
                <c:pt idx="1">
                  <c:v>6.88</c:v>
                </c:pt>
                <c:pt idx="2">
                  <c:v>11.08</c:v>
                </c:pt>
                <c:pt idx="3">
                  <c:v>15.74</c:v>
                </c:pt>
                <c:pt idx="4">
                  <c:v>20.64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54-42BD-A2DB-D2055DE698CF}"/>
            </c:ext>
          </c:extLst>
        </c:ser>
        <c:ser>
          <c:idx val="3"/>
          <c:order val="3"/>
          <c:tx>
            <c:strRef>
              <c:f>'badanie 1'!$BR$8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'badanie 1'!$BU$8:$BU$12</c:f>
              <c:numCache>
                <c:formatCode>#,##0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'badanie 1'!$BV$8:$BV$12</c:f>
              <c:numCache>
                <c:formatCode>0.00</c:formatCode>
                <c:ptCount val="5"/>
                <c:pt idx="0">
                  <c:v>3</c:v>
                </c:pt>
                <c:pt idx="1">
                  <c:v>7.06</c:v>
                </c:pt>
                <c:pt idx="2">
                  <c:v>11.02</c:v>
                </c:pt>
                <c:pt idx="3">
                  <c:v>15</c:v>
                </c:pt>
                <c:pt idx="4">
                  <c:v>19.03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54-42BD-A2DB-D2055DE69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565423"/>
        <c:axId val="1780558703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'badanie 1'!$BG$8</c15:sqref>
                        </c15:formulaRef>
                      </c:ext>
                    </c:extLst>
                    <c:strCache>
                      <c:ptCount val="1"/>
                      <c:pt idx="0">
                        <c:v>insertion sort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'badanie 1'!$BU$8:$BU$12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'badanie 1'!$BK$8:$BK$12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259.2</c:v>
                      </c:pt>
                      <c:pt idx="1">
                        <c:v>1040.78</c:v>
                      </c:pt>
                      <c:pt idx="2">
                        <c:v>2315.52</c:v>
                      </c:pt>
                      <c:pt idx="3">
                        <c:v>4255.5</c:v>
                      </c:pt>
                      <c:pt idx="4">
                        <c:v>6374.8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B54-42BD-A2DB-D2055DE698CF}"/>
                  </c:ext>
                </c:extLst>
              </c15:ser>
            </c15:filteredLineSeries>
          </c:ext>
        </c:extLst>
      </c:lineChart>
      <c:catAx>
        <c:axId val="178056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Liczebność zbioru sortowanego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558703"/>
        <c:crosses val="autoZero"/>
        <c:auto val="1"/>
        <c:lblAlgn val="ctr"/>
        <c:lblOffset val="100"/>
        <c:noMultiLvlLbl val="0"/>
      </c:catAx>
      <c:valAx>
        <c:axId val="17805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56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65887192945698"/>
          <c:y val="0.38245202489937358"/>
          <c:w val="0.15699436612298645"/>
          <c:h val="0.178136002899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</a:t>
            </a:r>
            <a:r>
              <a:rPr lang="pl-PL" baseline="0"/>
              <a:t> dystrybucji danych na Insertion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2'!$F$5</c:f>
              <c:strCache>
                <c:ptCount val="1"/>
                <c:pt idx="0">
                  <c:v>średni czas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2'!$E$6:$E$10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 w 33%</c:v>
                </c:pt>
                <c:pt idx="4">
                  <c:v>posortowane w 66%</c:v>
                </c:pt>
              </c:strCache>
            </c:strRef>
          </c:cat>
          <c:val>
            <c:numRef>
              <c:f>'badanie 2'!$F$6:$F$10</c:f>
              <c:numCache>
                <c:formatCode>0.00</c:formatCode>
                <c:ptCount val="5"/>
                <c:pt idx="0">
                  <c:v>6381.3</c:v>
                </c:pt>
                <c:pt idx="1">
                  <c:v>0</c:v>
                </c:pt>
                <c:pt idx="2">
                  <c:v>12767.44</c:v>
                </c:pt>
                <c:pt idx="3">
                  <c:v>2755.11</c:v>
                </c:pt>
                <c:pt idx="4">
                  <c:v>710.41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D-4BA6-9156-3927B142D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32671"/>
        <c:axId val="1267429791"/>
      </c:barChart>
      <c:catAx>
        <c:axId val="126743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Dystrybucja</a:t>
                </a:r>
                <a:r>
                  <a:rPr lang="pl-PL" baseline="0"/>
                  <a:t>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29791"/>
        <c:crosses val="autoZero"/>
        <c:auto val="1"/>
        <c:lblAlgn val="ctr"/>
        <c:lblOffset val="100"/>
        <c:noMultiLvlLbl val="0"/>
      </c:catAx>
      <c:valAx>
        <c:axId val="12674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Wpływ dystrybucji danych na Heap Sort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2'!$F$5</c:f>
              <c:strCache>
                <c:ptCount val="1"/>
                <c:pt idx="0">
                  <c:v>średni czas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2'!$E$14:$E$18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 w 33%</c:v>
                </c:pt>
                <c:pt idx="4">
                  <c:v>posortowane w 66%</c:v>
                </c:pt>
              </c:strCache>
            </c:strRef>
          </c:cat>
          <c:val>
            <c:numRef>
              <c:f>'badanie 2'!$F$14:$F$18</c:f>
              <c:numCache>
                <c:formatCode>0.00</c:formatCode>
                <c:ptCount val="5"/>
                <c:pt idx="0">
                  <c:v>19.03</c:v>
                </c:pt>
                <c:pt idx="1">
                  <c:v>17.059999999999999</c:v>
                </c:pt>
                <c:pt idx="2">
                  <c:v>16.09</c:v>
                </c:pt>
                <c:pt idx="3">
                  <c:v>19</c:v>
                </c:pt>
                <c:pt idx="4">
                  <c:v>18.02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B-4811-9DA4-E301AC2CA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32671"/>
        <c:axId val="1267429791"/>
      </c:barChart>
      <c:catAx>
        <c:axId val="126743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Dystrybucja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29791"/>
        <c:crosses val="autoZero"/>
        <c:auto val="1"/>
        <c:lblAlgn val="ctr"/>
        <c:lblOffset val="100"/>
        <c:noMultiLvlLbl val="0"/>
      </c:catAx>
      <c:valAx>
        <c:axId val="12674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Wpływ dystrybucji danych na Quick Sort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2'!$G$5</c:f>
              <c:strCache>
                <c:ptCount val="1"/>
                <c:pt idx="0">
                  <c:v>min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2'!$F$22:$F$26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 w 33%</c:v>
                </c:pt>
                <c:pt idx="4">
                  <c:v>posortowane w 66%</c:v>
                </c:pt>
              </c:strCache>
            </c:strRef>
          </c:cat>
          <c:val>
            <c:numRef>
              <c:f>'badanie 2'!$G$22:$G$26</c:f>
              <c:numCache>
                <c:formatCode>0.00</c:formatCode>
                <c:ptCount val="5"/>
                <c:pt idx="0">
                  <c:v>9.0500000000000007</c:v>
                </c:pt>
                <c:pt idx="1">
                  <c:v>5.04</c:v>
                </c:pt>
                <c:pt idx="2">
                  <c:v>11.01</c:v>
                </c:pt>
                <c:pt idx="3">
                  <c:v>7.26</c:v>
                </c:pt>
                <c:pt idx="4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F-4EEE-A504-830C013F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32671"/>
        <c:axId val="1267429791"/>
      </c:barChart>
      <c:catAx>
        <c:axId val="126743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Dystrybucja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29791"/>
        <c:crosses val="autoZero"/>
        <c:auto val="1"/>
        <c:lblAlgn val="ctr"/>
        <c:lblOffset val="100"/>
        <c:noMultiLvlLbl val="0"/>
      </c:catAx>
      <c:valAx>
        <c:axId val="12674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Wpływ dystrybucji danych na Shell Sort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2'!$G$5</c:f>
              <c:strCache>
                <c:ptCount val="1"/>
                <c:pt idx="0">
                  <c:v>min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2'!$F$30:$F$34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 w 33%</c:v>
                </c:pt>
                <c:pt idx="4">
                  <c:v>posortowane w 66%</c:v>
                </c:pt>
              </c:strCache>
            </c:strRef>
          </c:cat>
          <c:val>
            <c:numRef>
              <c:f>'badanie 2'!$G$30:$G$34</c:f>
              <c:numCache>
                <c:formatCode>0.00</c:formatCode>
                <c:ptCount val="5"/>
                <c:pt idx="0">
                  <c:v>20.65</c:v>
                </c:pt>
                <c:pt idx="1">
                  <c:v>3</c:v>
                </c:pt>
                <c:pt idx="2">
                  <c:v>7</c:v>
                </c:pt>
                <c:pt idx="3">
                  <c:v>13.88</c:v>
                </c:pt>
                <c:pt idx="4">
                  <c:v>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0-47C9-8879-AE3DFAC2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32671"/>
        <c:axId val="1267429791"/>
      </c:barChart>
      <c:catAx>
        <c:axId val="126743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Dystrybucja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29791"/>
        <c:crosses val="autoZero"/>
        <c:auto val="1"/>
        <c:lblAlgn val="ctr"/>
        <c:lblOffset val="100"/>
        <c:noMultiLvlLbl val="0"/>
      </c:catAx>
      <c:valAx>
        <c:axId val="12674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Wpływ dystrybucji danych na algorytm pijanego studenta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2'!$H$5</c:f>
              <c:strCache>
                <c:ptCount val="1"/>
                <c:pt idx="0">
                  <c:v>max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2'!$G$38:$G$42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 w 33%</c:v>
                </c:pt>
                <c:pt idx="4">
                  <c:v>posortowane w 66%</c:v>
                </c:pt>
              </c:strCache>
            </c:strRef>
          </c:cat>
          <c:val>
            <c:numRef>
              <c:f>'badanie 2'!$H$38:$H$42</c:f>
              <c:numCache>
                <c:formatCode>0.00</c:formatCode>
                <c:ptCount val="5"/>
                <c:pt idx="0">
                  <c:v>373.28</c:v>
                </c:pt>
                <c:pt idx="1">
                  <c:v>322.55</c:v>
                </c:pt>
                <c:pt idx="2">
                  <c:v>335.15</c:v>
                </c:pt>
                <c:pt idx="3">
                  <c:v>369.49</c:v>
                </c:pt>
                <c:pt idx="4">
                  <c:v>336.95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B-4A7F-8B2B-E58B6A3DA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32671"/>
        <c:axId val="1267429791"/>
      </c:barChart>
      <c:catAx>
        <c:axId val="126743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Dystrybucja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29791"/>
        <c:crosses val="autoZero"/>
        <c:auto val="1"/>
        <c:lblAlgn val="ctr"/>
        <c:lblOffset val="100"/>
        <c:noMultiLvlLbl val="0"/>
      </c:catAx>
      <c:valAx>
        <c:axId val="12674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74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</a:t>
            </a:r>
            <a:r>
              <a:rPr lang="pl-PL" baseline="0"/>
              <a:t> typu danych na Quick 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3'!$G$5</c:f>
              <c:strCache>
                <c:ptCount val="1"/>
                <c:pt idx="0">
                  <c:v>średni czas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3'!$F$6:$F$9</c:f>
              <c:strCache>
                <c:ptCount val="4"/>
                <c:pt idx="0">
                  <c:v>int</c:v>
                </c:pt>
                <c:pt idx="1">
                  <c:v>float</c:v>
                </c:pt>
                <c:pt idx="2">
                  <c:v>string</c:v>
                </c:pt>
                <c:pt idx="3">
                  <c:v>board game</c:v>
                </c:pt>
              </c:strCache>
            </c:strRef>
          </c:cat>
          <c:val>
            <c:numRef>
              <c:f>'badanie 3'!$G$6:$G$9</c:f>
              <c:numCache>
                <c:formatCode>0.00</c:formatCode>
                <c:ptCount val="4"/>
                <c:pt idx="0">
                  <c:v>8.9700000000000006</c:v>
                </c:pt>
                <c:pt idx="1">
                  <c:v>8.7899999999999991</c:v>
                </c:pt>
                <c:pt idx="2">
                  <c:v>36.19</c:v>
                </c:pt>
                <c:pt idx="3">
                  <c:v>64.599999999999994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F-4E1D-A629-DA1C2FE94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528175"/>
        <c:axId val="418524815"/>
      </c:barChart>
      <c:catAx>
        <c:axId val="41852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Typ</a:t>
                </a:r>
                <a:r>
                  <a:rPr lang="pl-PL" baseline="0"/>
                  <a:t>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524815"/>
        <c:crosses val="autoZero"/>
        <c:auto val="1"/>
        <c:lblAlgn val="ctr"/>
        <c:lblOffset val="100"/>
        <c:noMultiLvlLbl val="0"/>
      </c:catAx>
      <c:valAx>
        <c:axId val="4185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5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</a:t>
            </a:r>
            <a:r>
              <a:rPr lang="pl-PL"/>
              <a:t>pływ</a:t>
            </a:r>
            <a:r>
              <a:rPr lang="pl-PL" baseline="0"/>
              <a:t> dystrybucji danych na Quick Sort z lewym pivotem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1_3'!$G$3</c:f>
              <c:strCache>
                <c:ptCount val="1"/>
                <c:pt idx="0">
                  <c:v>średni czas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1_3'!$F$4:$F$8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posortowane_w_33%</c:v>
                </c:pt>
                <c:pt idx="4">
                  <c:v>posortowane_w_66%</c:v>
                </c:pt>
              </c:strCache>
            </c:strRef>
          </c:cat>
          <c:val>
            <c:numRef>
              <c:f>'badanie 1_3'!$G$4:$G$8</c:f>
              <c:numCache>
                <c:formatCode>0.00</c:formatCode>
                <c:ptCount val="5"/>
                <c:pt idx="0">
                  <c:v>1.01</c:v>
                </c:pt>
                <c:pt idx="1">
                  <c:v>488.01</c:v>
                </c:pt>
                <c:pt idx="2">
                  <c:v>340.22</c:v>
                </c:pt>
                <c:pt idx="3">
                  <c:v>55.05</c:v>
                </c:pt>
                <c:pt idx="4">
                  <c:v>214.8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44E8-8914-77FA6ECC7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052895"/>
        <c:axId val="1884053375"/>
      </c:barChart>
      <c:catAx>
        <c:axId val="188405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Dystrybucja</a:t>
                </a:r>
                <a:r>
                  <a:rPr lang="pl-PL" baseline="0"/>
                  <a:t>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4053375"/>
        <c:crosses val="autoZero"/>
        <c:auto val="1"/>
        <c:lblAlgn val="ctr"/>
        <c:lblOffset val="100"/>
        <c:noMultiLvlLbl val="0"/>
      </c:catAx>
      <c:valAx>
        <c:axId val="18840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40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</a:t>
            </a:r>
            <a:r>
              <a:rPr lang="pl-P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pływ dystrybucji danych na Quick Sort z prawym pivotem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1_3'!$R$3</c:f>
              <c:strCache>
                <c:ptCount val="1"/>
                <c:pt idx="0">
                  <c:v>średni czas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1_3'!$Q$4:$Q$8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posortowane_w_33%</c:v>
                </c:pt>
                <c:pt idx="4">
                  <c:v>posortowane_w_66%</c:v>
                </c:pt>
              </c:strCache>
            </c:strRef>
          </c:cat>
          <c:val>
            <c:numRef>
              <c:f>'badanie 1_3'!$R$4:$R$8</c:f>
              <c:numCache>
                <c:formatCode>0.00</c:formatCode>
                <c:ptCount val="5"/>
                <c:pt idx="0">
                  <c:v>1</c:v>
                </c:pt>
                <c:pt idx="1">
                  <c:v>191.6</c:v>
                </c:pt>
                <c:pt idx="2">
                  <c:v>339.83</c:v>
                </c:pt>
                <c:pt idx="3">
                  <c:v>106.86</c:v>
                </c:pt>
                <c:pt idx="4">
                  <c:v>169.93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5-4E80-AC72-005A979CE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750975"/>
        <c:axId val="306751455"/>
      </c:barChart>
      <c:catAx>
        <c:axId val="30675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Dystrybucja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6751455"/>
        <c:crosses val="autoZero"/>
        <c:auto val="1"/>
        <c:lblAlgn val="ctr"/>
        <c:lblOffset val="100"/>
        <c:noMultiLvlLbl val="0"/>
      </c:catAx>
      <c:valAx>
        <c:axId val="3067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675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</a:t>
            </a:r>
            <a:r>
              <a:rPr lang="pl-P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pływ dystrybucji danych na Quick Sort z losowym pivotem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1_3'!$AC$3</c:f>
              <c:strCache>
                <c:ptCount val="1"/>
                <c:pt idx="0">
                  <c:v>średni czas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1_3'!$AB$4:$AB$8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posortowane_w_33%</c:v>
                </c:pt>
                <c:pt idx="4">
                  <c:v>posortowane_w_66%</c:v>
                </c:pt>
              </c:strCache>
            </c:strRef>
          </c:cat>
          <c:val>
            <c:numRef>
              <c:f>'badanie 1_3'!$AC$4:$AC$8</c:f>
              <c:numCache>
                <c:formatCode>0.00</c:formatCode>
                <c:ptCount val="5"/>
                <c:pt idx="0">
                  <c:v>1.1599999999999999</c:v>
                </c:pt>
                <c:pt idx="1">
                  <c:v>1.01</c:v>
                </c:pt>
                <c:pt idx="2">
                  <c:v>1.01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B-45CD-99F7-0FB9DC644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025711"/>
        <c:axId val="1826025231"/>
      </c:barChart>
      <c:catAx>
        <c:axId val="182602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Dystrybucja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6025231"/>
        <c:crosses val="autoZero"/>
        <c:auto val="1"/>
        <c:lblAlgn val="ctr"/>
        <c:lblOffset val="100"/>
        <c:noMultiLvlLbl val="0"/>
      </c:catAx>
      <c:valAx>
        <c:axId val="182602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602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</a:t>
            </a:r>
            <a:r>
              <a:rPr lang="pl-P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pływ dystrybucji danych na Quick Sort z pivotem wybieranym jako mediana z trzech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1_3'!$AN$3</c:f>
              <c:strCache>
                <c:ptCount val="1"/>
                <c:pt idx="0">
                  <c:v>średni czas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1_3'!$AM$4:$AM$8</c:f>
              <c:strCache>
                <c:ptCount val="5"/>
                <c:pt idx="0">
                  <c:v>losowa</c:v>
                </c:pt>
                <c:pt idx="1">
                  <c:v>rosnąca</c:v>
                </c:pt>
                <c:pt idx="2">
                  <c:v>malejąca</c:v>
                </c:pt>
                <c:pt idx="3">
                  <c:v>posortowane_w_33%</c:v>
                </c:pt>
                <c:pt idx="4">
                  <c:v>posortowane_w_66%</c:v>
                </c:pt>
              </c:strCache>
            </c:strRef>
          </c:cat>
          <c:val>
            <c:numRef>
              <c:f>'badanie 1_3'!$AN$4:$AN$8</c:f>
              <c:numCache>
                <c:formatCode>0.00</c:formatCode>
                <c:ptCount val="5"/>
                <c:pt idx="0">
                  <c:v>1.01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B-4372-86D3-1AFC1CADC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133039"/>
        <c:axId val="362133999"/>
      </c:barChart>
      <c:catAx>
        <c:axId val="36213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Dystrybucja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2133999"/>
        <c:crosses val="autoZero"/>
        <c:auto val="1"/>
        <c:lblAlgn val="ctr"/>
        <c:lblOffset val="100"/>
        <c:noMultiLvlLbl val="0"/>
      </c:catAx>
      <c:valAx>
        <c:axId val="36213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213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[tests.xlsx]badanie 1_3!Tabela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 </a:t>
            </a:r>
            <a:r>
              <a:rPr lang="pl-PL" baseline="0"/>
              <a:t>pivotów algorytmu Quick Sort dla różnych dystrybucji danych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'badanie 1_3'!$R$38:$R$39</c:f>
              <c:strCache>
                <c:ptCount val="1"/>
                <c:pt idx="0">
                  <c:v>lewy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'badanie 1_3'!$Q$40:$Q$45</c:f>
              <c:strCache>
                <c:ptCount val="5"/>
                <c:pt idx="0">
                  <c:v>losowa</c:v>
                </c:pt>
                <c:pt idx="1">
                  <c:v>malejąca</c:v>
                </c:pt>
                <c:pt idx="2">
                  <c:v>posortowane_w_33%</c:v>
                </c:pt>
                <c:pt idx="3">
                  <c:v>posortowane_w_66%</c:v>
                </c:pt>
                <c:pt idx="4">
                  <c:v>rosnąca</c:v>
                </c:pt>
              </c:strCache>
            </c:strRef>
          </c:cat>
          <c:val>
            <c:numRef>
              <c:f>'badanie 1_3'!$R$40:$R$45</c:f>
              <c:numCache>
                <c:formatCode>0.00</c:formatCode>
                <c:ptCount val="5"/>
                <c:pt idx="0">
                  <c:v>1.01</c:v>
                </c:pt>
                <c:pt idx="1">
                  <c:v>340.22</c:v>
                </c:pt>
                <c:pt idx="2">
                  <c:v>55.05</c:v>
                </c:pt>
                <c:pt idx="3">
                  <c:v>214.8</c:v>
                </c:pt>
                <c:pt idx="4">
                  <c:v>488.01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0-4986-915A-CD6FEAB986A6}"/>
            </c:ext>
          </c:extLst>
        </c:ser>
        <c:ser>
          <c:idx val="1"/>
          <c:order val="1"/>
          <c:tx>
            <c:strRef>
              <c:f>'badanie 1_3'!$S$38:$S$39</c:f>
              <c:strCache>
                <c:ptCount val="1"/>
                <c:pt idx="0">
                  <c:v>losowy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'badanie 1_3'!$Q$40:$Q$45</c:f>
              <c:strCache>
                <c:ptCount val="5"/>
                <c:pt idx="0">
                  <c:v>losowa</c:v>
                </c:pt>
                <c:pt idx="1">
                  <c:v>malejąca</c:v>
                </c:pt>
                <c:pt idx="2">
                  <c:v>posortowane_w_33%</c:v>
                </c:pt>
                <c:pt idx="3">
                  <c:v>posortowane_w_66%</c:v>
                </c:pt>
                <c:pt idx="4">
                  <c:v>rosnąca</c:v>
                </c:pt>
              </c:strCache>
            </c:strRef>
          </c:cat>
          <c:val>
            <c:numRef>
              <c:f>'badanie 1_3'!$S$40:$S$45</c:f>
              <c:numCache>
                <c:formatCode>0.00</c:formatCode>
                <c:ptCount val="5"/>
                <c:pt idx="0">
                  <c:v>1.1599999999999999</c:v>
                </c:pt>
                <c:pt idx="1">
                  <c:v>1.01</c:v>
                </c:pt>
                <c:pt idx="2">
                  <c:v>1</c:v>
                </c:pt>
                <c:pt idx="3">
                  <c:v>1</c:v>
                </c:pt>
                <c:pt idx="4">
                  <c:v>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0-4986-915A-CD6FEAB986A6}"/>
            </c:ext>
          </c:extLst>
        </c:ser>
        <c:ser>
          <c:idx val="2"/>
          <c:order val="2"/>
          <c:tx>
            <c:strRef>
              <c:f>'badanie 1_3'!$T$38:$T$39</c:f>
              <c:strCache>
                <c:ptCount val="1"/>
                <c:pt idx="0">
                  <c:v>mediana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'badanie 1_3'!$Q$40:$Q$45</c:f>
              <c:strCache>
                <c:ptCount val="5"/>
                <c:pt idx="0">
                  <c:v>losowa</c:v>
                </c:pt>
                <c:pt idx="1">
                  <c:v>malejąca</c:v>
                </c:pt>
                <c:pt idx="2">
                  <c:v>posortowane_w_33%</c:v>
                </c:pt>
                <c:pt idx="3">
                  <c:v>posortowane_w_66%</c:v>
                </c:pt>
                <c:pt idx="4">
                  <c:v>rosnąca</c:v>
                </c:pt>
              </c:strCache>
            </c:strRef>
          </c:cat>
          <c:val>
            <c:numRef>
              <c:f>'badanie 1_3'!$T$40:$T$45</c:f>
              <c:numCache>
                <c:formatCode>0.00</c:formatCode>
                <c:ptCount val="5"/>
                <c:pt idx="0">
                  <c:v>1.01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0-4986-915A-CD6FEAB986A6}"/>
            </c:ext>
          </c:extLst>
        </c:ser>
        <c:ser>
          <c:idx val="3"/>
          <c:order val="3"/>
          <c:tx>
            <c:strRef>
              <c:f>'badanie 1_3'!$U$38:$U$39</c:f>
              <c:strCache>
                <c:ptCount val="1"/>
                <c:pt idx="0">
                  <c:v>prawy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'badanie 1_3'!$Q$40:$Q$45</c:f>
              <c:strCache>
                <c:ptCount val="5"/>
                <c:pt idx="0">
                  <c:v>losowa</c:v>
                </c:pt>
                <c:pt idx="1">
                  <c:v>malejąca</c:v>
                </c:pt>
                <c:pt idx="2">
                  <c:v>posortowane_w_33%</c:v>
                </c:pt>
                <c:pt idx="3">
                  <c:v>posortowane_w_66%</c:v>
                </c:pt>
                <c:pt idx="4">
                  <c:v>rosnąca</c:v>
                </c:pt>
              </c:strCache>
            </c:strRef>
          </c:cat>
          <c:val>
            <c:numRef>
              <c:f>'badanie 1_3'!$U$40:$U$45</c:f>
              <c:numCache>
                <c:formatCode>0.00</c:formatCode>
                <c:ptCount val="5"/>
                <c:pt idx="0">
                  <c:v>1</c:v>
                </c:pt>
                <c:pt idx="1">
                  <c:v>339.83</c:v>
                </c:pt>
                <c:pt idx="2">
                  <c:v>106.86</c:v>
                </c:pt>
                <c:pt idx="3">
                  <c:v>169.93</c:v>
                </c:pt>
                <c:pt idx="4">
                  <c:v>191.6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0-4986-915A-CD6FEAB98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563551"/>
        <c:axId val="1462575551"/>
      </c:barChart>
      <c:catAx>
        <c:axId val="146256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Dystrybucja</a:t>
                </a:r>
                <a:r>
                  <a:rPr lang="pl-PL" baseline="0"/>
                  <a:t>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2575551"/>
        <c:crosses val="autoZero"/>
        <c:auto val="1"/>
        <c:lblAlgn val="ctr"/>
        <c:lblOffset val="100"/>
        <c:noMultiLvlLbl val="0"/>
      </c:catAx>
      <c:valAx>
        <c:axId val="14625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sortowania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256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164667</xdr:colOff>
      <xdr:row>39</xdr:row>
      <xdr:rowOff>25832</xdr:rowOff>
    </xdr:from>
    <xdr:to>
      <xdr:col>7</xdr:col>
      <xdr:colOff>615303</xdr:colOff>
      <xdr:row>57</xdr:row>
      <xdr:rowOff>152637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DF12DE9-5316-D3FC-1625-0EAC441E2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541736</xdr:colOff>
      <xdr:row>38</xdr:row>
      <xdr:rowOff>92868</xdr:rowOff>
    </xdr:from>
    <xdr:to>
      <xdr:col>19</xdr:col>
      <xdr:colOff>166688</xdr:colOff>
      <xdr:row>58</xdr:row>
      <xdr:rowOff>83342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A8625A8-5ECF-3007-341E-2C8252F6B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313675</xdr:colOff>
      <xdr:row>37</xdr:row>
      <xdr:rowOff>116882</xdr:rowOff>
    </xdr:from>
    <xdr:to>
      <xdr:col>29</xdr:col>
      <xdr:colOff>0</xdr:colOff>
      <xdr:row>57</xdr:row>
      <xdr:rowOff>122903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5CA9748-BF4A-BB6F-35B2-DBDC1FC47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100965</xdr:colOff>
      <xdr:row>37</xdr:row>
      <xdr:rowOff>152399</xdr:rowOff>
    </xdr:from>
    <xdr:to>
      <xdr:col>41</xdr:col>
      <xdr:colOff>856615</xdr:colOff>
      <xdr:row>57</xdr:row>
      <xdr:rowOff>43960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FF76864-5057-C5F2-A0DD-6C23DA347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594284</xdr:colOff>
      <xdr:row>38</xdr:row>
      <xdr:rowOff>36231</xdr:rowOff>
    </xdr:from>
    <xdr:to>
      <xdr:col>53</xdr:col>
      <xdr:colOff>253999</xdr:colOff>
      <xdr:row>57</xdr:row>
      <xdr:rowOff>102575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FDD1B767-AF3A-C93B-99EA-00A4CC517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99295</xdr:colOff>
      <xdr:row>38</xdr:row>
      <xdr:rowOff>106552</xdr:rowOff>
    </xdr:from>
    <xdr:to>
      <xdr:col>65</xdr:col>
      <xdr:colOff>87923</xdr:colOff>
      <xdr:row>58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C64D7E86-205D-F1B5-B329-79D1ED73B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68</xdr:col>
      <xdr:colOff>432289</xdr:colOff>
      <xdr:row>38</xdr:row>
      <xdr:rowOff>64477</xdr:rowOff>
    </xdr:from>
    <xdr:to>
      <xdr:col>76</xdr:col>
      <xdr:colOff>581891</xdr:colOff>
      <xdr:row>57</xdr:row>
      <xdr:rowOff>117230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9447811-1702-8E3B-FAF7-2374C6C34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868823</xdr:colOff>
      <xdr:row>65</xdr:row>
      <xdr:rowOff>141193</xdr:rowOff>
    </xdr:from>
    <xdr:to>
      <xdr:col>54</xdr:col>
      <xdr:colOff>392906</xdr:colOff>
      <xdr:row>84</xdr:row>
      <xdr:rowOff>130969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3B6E41F7-12A5-9101-9241-6829900BD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208551</xdr:colOff>
      <xdr:row>2</xdr:row>
      <xdr:rowOff>88973</xdr:rowOff>
    </xdr:from>
    <xdr:to>
      <xdr:col>20</xdr:col>
      <xdr:colOff>599674</xdr:colOff>
      <xdr:row>15</xdr:row>
      <xdr:rowOff>139266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A881184-4938-FA30-0C59-BB41F1B6A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561739</xdr:colOff>
      <xdr:row>2</xdr:row>
      <xdr:rowOff>76121</xdr:rowOff>
    </xdr:from>
    <xdr:to>
      <xdr:col>30</xdr:col>
      <xdr:colOff>210552</xdr:colOff>
      <xdr:row>15</xdr:row>
      <xdr:rowOff>160423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0E4305A-A12E-41EE-9FE5-864CA982D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190499</xdr:colOff>
      <xdr:row>16</xdr:row>
      <xdr:rowOff>166687</xdr:rowOff>
    </xdr:from>
    <xdr:to>
      <xdr:col>20</xdr:col>
      <xdr:colOff>525516</xdr:colOff>
      <xdr:row>31</xdr:row>
      <xdr:rowOff>26276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59178E-E1E4-468E-AFEE-27D961D38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595313</xdr:colOff>
      <xdr:row>17</xdr:row>
      <xdr:rowOff>47625</xdr:rowOff>
    </xdr:from>
    <xdr:to>
      <xdr:col>30</xdr:col>
      <xdr:colOff>561473</xdr:colOff>
      <xdr:row>31</xdr:row>
      <xdr:rowOff>150395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AC9E68C-E3EF-4FC3-A5F2-E00BAB827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309562</xdr:colOff>
      <xdr:row>33</xdr:row>
      <xdr:rowOff>47625</xdr:rowOff>
    </xdr:from>
    <xdr:to>
      <xdr:col>21</xdr:col>
      <xdr:colOff>280737</xdr:colOff>
      <xdr:row>49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EB7B7A1-87D2-4015-9907-805CFB2D1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90421</xdr:colOff>
      <xdr:row>2</xdr:row>
      <xdr:rowOff>144687</xdr:rowOff>
    </xdr:from>
    <xdr:to>
      <xdr:col>19</xdr:col>
      <xdr:colOff>358083</xdr:colOff>
      <xdr:row>17</xdr:row>
      <xdr:rowOff>116218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9D1DA95-0863-7A1C-124D-5E871766A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574841</xdr:colOff>
      <xdr:row>12</xdr:row>
      <xdr:rowOff>18714</xdr:rowOff>
    </xdr:from>
    <xdr:to>
      <xdr:col>11</xdr:col>
      <xdr:colOff>93578</xdr:colOff>
      <xdr:row>27</xdr:row>
      <xdr:rowOff>133683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D20E6C7-64DD-1A90-F431-AC956D05D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13368</xdr:colOff>
      <xdr:row>12</xdr:row>
      <xdr:rowOff>98926</xdr:rowOff>
    </xdr:from>
    <xdr:to>
      <xdr:col>20</xdr:col>
      <xdr:colOff>748632</xdr:colOff>
      <xdr:row>28</xdr:row>
      <xdr:rowOff>120316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CBDD7CC-A10D-4B67-B244-3021F4F89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347578</xdr:colOff>
      <xdr:row>12</xdr:row>
      <xdr:rowOff>125663</xdr:rowOff>
    </xdr:from>
    <xdr:to>
      <xdr:col>32</xdr:col>
      <xdr:colOff>13367</xdr:colOff>
      <xdr:row>29</xdr:row>
      <xdr:rowOff>26737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B7F013A-236C-8AEB-E553-99C1CC6B3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401052</xdr:colOff>
      <xdr:row>12</xdr:row>
      <xdr:rowOff>179137</xdr:rowOff>
    </xdr:from>
    <xdr:to>
      <xdr:col>42</xdr:col>
      <xdr:colOff>695157</xdr:colOff>
      <xdr:row>29</xdr:row>
      <xdr:rowOff>160421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CBB3CFF5-78CF-361B-670E-913BE4679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142874</xdr:colOff>
      <xdr:row>35</xdr:row>
      <xdr:rowOff>69848</xdr:rowOff>
    </xdr:from>
    <xdr:to>
      <xdr:col>31</xdr:col>
      <xdr:colOff>581525</xdr:colOff>
      <xdr:row>59</xdr:row>
      <xdr:rowOff>10025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AC4D403E-29CF-70E9-3BEC-5C8EBC53B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2.663871874996" createdVersion="8" refreshedVersion="8" minRefreshableVersion="3" recordCount="20" xr:uid="{E08B030C-1446-4156-9506-21ECB11AF2F6}">
  <cacheSource type="worksheet">
    <worksheetSource ref="E5:G25" sheet="badanie 1"/>
  </cacheSource>
  <cacheFields count="3">
    <cacheField name="pivot" numFmtId="0">
      <sharedItems count="4">
        <s v="lewy"/>
        <s v="prawy"/>
        <s v="losowy"/>
        <s v="mediana"/>
      </sharedItems>
    </cacheField>
    <cacheField name="liczebność zbioru" numFmtId="3">
      <sharedItems containsSemiMixedTypes="0" containsString="0" containsNumber="1" containsInteger="1" minValue="10000" maxValue="50000" count="5">
        <n v="10000"/>
        <n v="20000"/>
        <n v="30000"/>
        <n v="40000"/>
        <n v="50000"/>
      </sharedItems>
    </cacheField>
    <cacheField name="średni czas [ms]" numFmtId="2">
      <sharedItems containsSemiMixedTypes="0" containsString="0" containsNumber="1" minValue="1" maxValue="10.44" count="18">
        <n v="1.03"/>
        <n v="3"/>
        <n v="5.05"/>
        <n v="7.08"/>
        <n v="9.16"/>
        <n v="1"/>
        <n v="3.07"/>
        <n v="5.0599999999999996"/>
        <n v="7.17"/>
        <n v="9.4600000000000009"/>
        <n v="1.08"/>
        <n v="3.88"/>
        <n v="6.03"/>
        <n v="8.06"/>
        <n v="10.44"/>
        <n v="5"/>
        <n v="7"/>
        <n v="8.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2.67400983796" createdVersion="8" refreshedVersion="8" minRefreshableVersion="3" recordCount="10" xr:uid="{A6A941CD-E3F7-4C0A-A1F6-B3B4EF270E24}">
  <cacheSource type="worksheet">
    <worksheetSource ref="P5:R15" sheet="badanie 1"/>
  </cacheSource>
  <cacheFields count="3">
    <cacheField name="odstęp" numFmtId="0">
      <sharedItems count="2">
        <s v="shell"/>
        <s v="knuth"/>
      </sharedItems>
    </cacheField>
    <cacheField name="liczebność zbioru" numFmtId="3">
      <sharedItems containsSemiMixedTypes="0" containsString="0" containsNumber="1" containsInteger="1" minValue="10000" maxValue="50000" count="5">
        <n v="10000"/>
        <n v="20000"/>
        <n v="30000"/>
        <n v="40000"/>
        <n v="50000"/>
      </sharedItems>
    </cacheField>
    <cacheField name="średni czas [ms]" numFmtId="2">
      <sharedItems containsSemiMixedTypes="0" containsString="0" containsNumber="1" minValue="3" maxValue="23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2.685969444443" createdVersion="8" refreshedVersion="8" minRefreshableVersion="3" recordCount="5" xr:uid="{1F32DFD4-206A-4DBE-A846-5FD0747310C1}">
  <cacheSource type="worksheet">
    <worksheetSource ref="AB7:AC12" sheet="badanie 1"/>
  </cacheSource>
  <cacheFields count="2">
    <cacheField name="parametr pijaństwa" numFmtId="3">
      <sharedItems containsSemiMixedTypes="0" containsString="0" containsNumber="1" containsInteger="1" minValue="10" maxValue="100" count="5">
        <n v="10"/>
        <n v="25"/>
        <n v="50"/>
        <n v="75"/>
        <n v="100"/>
      </sharedItems>
    </cacheField>
    <cacheField name="średni czas [ms]" numFmtId="2">
      <sharedItems containsSemiMixedTypes="0" containsString="0" containsNumber="1" minValue="183.7" maxValue="691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2.698217939818" createdVersion="8" refreshedVersion="8" minRefreshableVersion="3" recordCount="5" xr:uid="{35BF3575-1898-48BD-AF7F-F43732A52E4E}">
  <cacheSource type="worksheet">
    <worksheetSource ref="AO7:AP12" sheet="badanie 1"/>
  </cacheSource>
  <cacheFields count="2">
    <cacheField name="liczebność zbioru" numFmtId="3">
      <sharedItems containsSemiMixedTypes="0" containsString="0" containsNumber="1" containsInteger="1" minValue="10000" maxValue="100000" count="6">
        <n v="100000"/>
        <n v="20000"/>
        <n v="30000"/>
        <n v="40000"/>
        <n v="50000"/>
        <n v="10000" u="1"/>
      </sharedItems>
    </cacheField>
    <cacheField name="średni czas [ms]" numFmtId="2">
      <sharedItems containsSemiMixedTypes="0" containsString="0" containsNumb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2.705348958334" createdVersion="8" refreshedVersion="8" minRefreshableVersion="3" recordCount="5" xr:uid="{E1F1E521-EDA5-4158-852A-092F2FDAFD17}">
  <cacheSource type="worksheet">
    <worksheetSource ref="AZ7:BA12" sheet="badanie 1"/>
  </cacheSource>
  <cacheFields count="2">
    <cacheField name="liczebność zbioru" numFmtId="3">
      <sharedItems containsSemiMixedTypes="0" containsString="0" containsNumber="1" containsInteger="1" minValue="10000" maxValue="50000" count="5">
        <n v="10000"/>
        <n v="20000"/>
        <n v="30000"/>
        <n v="40000"/>
        <n v="50000"/>
      </sharedItems>
    </cacheField>
    <cacheField name="średni czas [ms]" numFmtId="2">
      <sharedItems containsSemiMixedTypes="0" containsString="0" containsNumber="1" minValue="3.04" maxValue="20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2.706718055553" createdVersion="8" refreshedVersion="8" minRefreshableVersion="3" recordCount="5" xr:uid="{44ED994C-49DC-4682-A211-2FD04C3A0C64}">
  <cacheSource type="worksheet">
    <worksheetSource ref="BJ7:BK12" sheet="badanie 1"/>
  </cacheSource>
  <cacheFields count="2">
    <cacheField name="liczebność zbioru" numFmtId="3">
      <sharedItems containsSemiMixedTypes="0" containsString="0" containsNumber="1" containsInteger="1" minValue="10000" maxValue="50000" count="5">
        <n v="10000"/>
        <n v="20000"/>
        <n v="30000"/>
        <n v="40000"/>
        <n v="50000"/>
      </sharedItems>
    </cacheField>
    <cacheField name="średni czas [ms]" numFmtId="2">
      <sharedItems containsSemiMixedTypes="0" containsString="0" containsNumber="1" minValue="259.2" maxValue="6374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2.710523148147" createdVersion="8" refreshedVersion="8" minRefreshableVersion="3" recordCount="5" xr:uid="{A22C418D-9F1B-4C2D-B5B6-727254DFFCD1}">
  <cacheSource type="worksheet">
    <worksheetSource ref="BU7:BV12" sheet="badanie 1"/>
  </cacheSource>
  <cacheFields count="2">
    <cacheField name="liczebność zbioru" numFmtId="3">
      <sharedItems containsSemiMixedTypes="0" containsString="0" containsNumber="1" containsInteger="1" minValue="10000" maxValue="50000" count="5">
        <n v="10000"/>
        <n v="20000"/>
        <n v="30000"/>
        <n v="40000"/>
        <n v="50000"/>
      </sharedItems>
    </cacheField>
    <cacheField name="średni czas [ms]" numFmtId="2">
      <sharedItems containsSemiMixedTypes="0" containsString="0" containsNumber="1" minValue="3" maxValue="19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Winiecki" refreshedDate="45773.527002314811" createdVersion="8" refreshedVersion="8" minRefreshableVersion="3" recordCount="20" xr:uid="{F58016E1-5B9F-4767-83E3-BF284A39D813}">
  <cacheSource type="worksheet">
    <worksheetSource ref="B37:K57" sheet="badanie 1_3"/>
  </cacheSource>
  <cacheFields count="10">
    <cacheField name="algorytm" numFmtId="0">
      <sharedItems/>
    </cacheField>
    <cacheField name="pivot" numFmtId="0">
      <sharedItems count="4">
        <s v="lewy"/>
        <s v="prawy"/>
        <s v="losowy"/>
        <s v="mediana"/>
      </sharedItems>
    </cacheField>
    <cacheField name="liczebność zbioru" numFmtId="3">
      <sharedItems containsSemiMixedTypes="0" containsString="0" containsNumber="1" containsInteger="1" minValue="10000" maxValue="10000"/>
    </cacheField>
    <cacheField name="typ danych" numFmtId="3">
      <sharedItems/>
    </cacheField>
    <cacheField name="dystrybucja" numFmtId="3">
      <sharedItems count="5">
        <s v="losowa"/>
        <s v="rosnąca"/>
        <s v="malejąca"/>
        <s v="posortowane_w_33%"/>
        <s v="posortowane_w_66%"/>
      </sharedItems>
    </cacheField>
    <cacheField name="średni czas [ms]" numFmtId="2">
      <sharedItems containsSemiMixedTypes="0" containsString="0" containsNumber="1" minValue="0.75" maxValue="488.01"/>
    </cacheField>
    <cacheField name="min [ms]" numFmtId="0">
      <sharedItems containsSemiMixedTypes="0" containsString="0" containsNumber="1" containsInteger="1" minValue="0" maxValue="481"/>
    </cacheField>
    <cacheField name="max [ms]" numFmtId="0">
      <sharedItems containsSemiMixedTypes="0" containsString="0" containsNumber="1" containsInteger="1" minValue="1" maxValue="495"/>
    </cacheField>
    <cacheField name="mediana [ms]" numFmtId="0">
      <sharedItems containsSemiMixedTypes="0" containsString="0" containsNumber="1" containsInteger="1" minValue="1" maxValue="488"/>
    </cacheField>
    <cacheField name="odchylenie std." numFmtId="2">
      <sharedItems containsSemiMixedTypes="0" containsString="0" containsNumber="1" minValue="0" maxValue="2.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1"/>
    <x v="0"/>
    <x v="5"/>
  </r>
  <r>
    <x v="1"/>
    <x v="1"/>
    <x v="6"/>
  </r>
  <r>
    <x v="1"/>
    <x v="2"/>
    <x v="7"/>
  </r>
  <r>
    <x v="1"/>
    <x v="3"/>
    <x v="8"/>
  </r>
  <r>
    <x v="1"/>
    <x v="4"/>
    <x v="9"/>
  </r>
  <r>
    <x v="2"/>
    <x v="0"/>
    <x v="10"/>
  </r>
  <r>
    <x v="2"/>
    <x v="1"/>
    <x v="11"/>
  </r>
  <r>
    <x v="2"/>
    <x v="2"/>
    <x v="12"/>
  </r>
  <r>
    <x v="2"/>
    <x v="3"/>
    <x v="13"/>
  </r>
  <r>
    <x v="2"/>
    <x v="4"/>
    <x v="14"/>
  </r>
  <r>
    <x v="3"/>
    <x v="0"/>
    <x v="5"/>
  </r>
  <r>
    <x v="3"/>
    <x v="1"/>
    <x v="1"/>
  </r>
  <r>
    <x v="3"/>
    <x v="2"/>
    <x v="15"/>
  </r>
  <r>
    <x v="3"/>
    <x v="3"/>
    <x v="16"/>
  </r>
  <r>
    <x v="3"/>
    <x v="4"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3"/>
  </r>
  <r>
    <x v="0"/>
    <x v="1"/>
    <n v="7.42"/>
  </r>
  <r>
    <x v="0"/>
    <x v="2"/>
    <n v="11.9"/>
  </r>
  <r>
    <x v="0"/>
    <x v="3"/>
    <n v="17.829999999999998"/>
  </r>
  <r>
    <x v="0"/>
    <x v="4"/>
    <n v="23.06"/>
  </r>
  <r>
    <x v="1"/>
    <x v="0"/>
    <n v="3.04"/>
  </r>
  <r>
    <x v="1"/>
    <x v="1"/>
    <n v="6.88"/>
  </r>
  <r>
    <x v="1"/>
    <x v="2"/>
    <n v="11.08"/>
  </r>
  <r>
    <x v="1"/>
    <x v="3"/>
    <n v="15.74"/>
  </r>
  <r>
    <x v="1"/>
    <x v="4"/>
    <n v="20.6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83.7"/>
  </r>
  <r>
    <x v="1"/>
    <n v="243.97"/>
  </r>
  <r>
    <x v="2"/>
    <n v="398.43"/>
  </r>
  <r>
    <x v="3"/>
    <n v="540.34"/>
  </r>
  <r>
    <x v="4"/>
    <n v="691.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"/>
  </r>
  <r>
    <x v="1"/>
    <n v="3"/>
  </r>
  <r>
    <x v="2"/>
    <n v="5"/>
  </r>
  <r>
    <x v="3"/>
    <n v="7"/>
  </r>
  <r>
    <x v="4"/>
    <n v="8.9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.04"/>
  </r>
  <r>
    <x v="1"/>
    <n v="6.88"/>
  </r>
  <r>
    <x v="2"/>
    <n v="11.08"/>
  </r>
  <r>
    <x v="3"/>
    <n v="15.74"/>
  </r>
  <r>
    <x v="4"/>
    <n v="20.6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59.2"/>
  </r>
  <r>
    <x v="1"/>
    <n v="1040.78"/>
  </r>
  <r>
    <x v="2"/>
    <n v="2315.52"/>
  </r>
  <r>
    <x v="3"/>
    <n v="4255.5"/>
  </r>
  <r>
    <x v="4"/>
    <n v="6374.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"/>
  </r>
  <r>
    <x v="1"/>
    <n v="7.06"/>
  </r>
  <r>
    <x v="2"/>
    <n v="11.02"/>
  </r>
  <r>
    <x v="3"/>
    <n v="15"/>
  </r>
  <r>
    <x v="4"/>
    <n v="19.0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quick sort"/>
    <x v="0"/>
    <n v="10000"/>
    <s v="int"/>
    <x v="0"/>
    <n v="1.01"/>
    <n v="1"/>
    <n v="2"/>
    <n v="1"/>
    <n v="0.1"/>
  </r>
  <r>
    <s v="quick sort"/>
    <x v="0"/>
    <n v="10000"/>
    <s v="int"/>
    <x v="1"/>
    <n v="488.01"/>
    <n v="481"/>
    <n v="495"/>
    <n v="488"/>
    <n v="1.98"/>
  </r>
  <r>
    <s v="quick sort"/>
    <x v="0"/>
    <n v="10000"/>
    <s v="int"/>
    <x v="2"/>
    <n v="340.22"/>
    <n v="336"/>
    <n v="364"/>
    <n v="340"/>
    <n v="2.73"/>
  </r>
  <r>
    <s v="quick sort"/>
    <x v="0"/>
    <n v="10000"/>
    <s v="int"/>
    <x v="3"/>
    <n v="55.05"/>
    <n v="55"/>
    <n v="56"/>
    <n v="55"/>
    <n v="0.22"/>
  </r>
  <r>
    <s v="quick sort"/>
    <x v="0"/>
    <n v="10000"/>
    <s v="int"/>
    <x v="4"/>
    <n v="214.8"/>
    <n v="214"/>
    <n v="221"/>
    <n v="215"/>
    <n v="1.0900000000000001"/>
  </r>
  <r>
    <s v="quick sort"/>
    <x v="1"/>
    <n v="10000"/>
    <s v="int"/>
    <x v="0"/>
    <n v="1"/>
    <n v="1"/>
    <n v="1"/>
    <n v="1"/>
    <n v="0"/>
  </r>
  <r>
    <s v="quick sort"/>
    <x v="1"/>
    <n v="10000"/>
    <s v="int"/>
    <x v="1"/>
    <n v="191.6"/>
    <n v="190"/>
    <n v="194"/>
    <n v="191"/>
    <n v="0.86"/>
  </r>
  <r>
    <s v="quick sort"/>
    <x v="1"/>
    <n v="10000"/>
    <s v="int"/>
    <x v="2"/>
    <n v="339.83"/>
    <n v="337"/>
    <n v="345"/>
    <n v="340"/>
    <n v="1.25"/>
  </r>
  <r>
    <s v="quick sort"/>
    <x v="1"/>
    <n v="10000"/>
    <s v="int"/>
    <x v="3"/>
    <n v="106.86"/>
    <n v="105"/>
    <n v="109"/>
    <n v="107"/>
    <n v="0.7"/>
  </r>
  <r>
    <s v="quick sort"/>
    <x v="1"/>
    <n v="10000"/>
    <s v="int"/>
    <x v="4"/>
    <n v="169.93"/>
    <n v="169"/>
    <n v="174"/>
    <n v="170"/>
    <n v="0.87"/>
  </r>
  <r>
    <s v="quick sort"/>
    <x v="2"/>
    <n v="10000"/>
    <s v="int"/>
    <x v="0"/>
    <n v="1.1599999999999999"/>
    <n v="1"/>
    <n v="2"/>
    <n v="1"/>
    <n v="0.37"/>
  </r>
  <r>
    <s v="quick sort"/>
    <x v="2"/>
    <n v="10000"/>
    <s v="int"/>
    <x v="1"/>
    <n v="1.01"/>
    <n v="1"/>
    <n v="2"/>
    <n v="1"/>
    <n v="0.1"/>
  </r>
  <r>
    <s v="quick sort"/>
    <x v="2"/>
    <n v="10000"/>
    <s v="int"/>
    <x v="2"/>
    <n v="1.01"/>
    <n v="1"/>
    <n v="2"/>
    <n v="1"/>
    <n v="0.1"/>
  </r>
  <r>
    <s v="quick sort"/>
    <x v="2"/>
    <n v="10000"/>
    <s v="int"/>
    <x v="3"/>
    <n v="1"/>
    <n v="1"/>
    <n v="1"/>
    <n v="1"/>
    <n v="0"/>
  </r>
  <r>
    <s v="quick sort"/>
    <x v="2"/>
    <n v="10000"/>
    <s v="int"/>
    <x v="4"/>
    <n v="1"/>
    <n v="1"/>
    <n v="1"/>
    <n v="1"/>
    <n v="0"/>
  </r>
  <r>
    <s v="quick sort"/>
    <x v="3"/>
    <n v="10000"/>
    <s v="int"/>
    <x v="0"/>
    <n v="1.01"/>
    <n v="1"/>
    <n v="2"/>
    <n v="1"/>
    <n v="0.1"/>
  </r>
  <r>
    <s v="quick sort"/>
    <x v="3"/>
    <n v="10000"/>
    <s v="int"/>
    <x v="1"/>
    <n v="0.75"/>
    <n v="0"/>
    <n v="1"/>
    <n v="1"/>
    <n v="0.44"/>
  </r>
  <r>
    <s v="quick sort"/>
    <x v="3"/>
    <n v="10000"/>
    <s v="int"/>
    <x v="2"/>
    <n v="1"/>
    <n v="1"/>
    <n v="1"/>
    <n v="1"/>
    <n v="0"/>
  </r>
  <r>
    <s v="quick sort"/>
    <x v="3"/>
    <n v="10000"/>
    <s v="int"/>
    <x v="3"/>
    <n v="1"/>
    <n v="1"/>
    <n v="1"/>
    <n v="1"/>
    <n v="0"/>
  </r>
  <r>
    <s v="quick sort"/>
    <x v="3"/>
    <n v="10000"/>
    <s v="int"/>
    <x v="4"/>
    <n v="1"/>
    <n v="1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F825B-F758-4185-96BB-7A3F78F99378}" name="Tabela przestawna19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10">
  <location ref="BR31:BS37" firstHeaderRow="1" firstDataRow="1" firstDataCol="1"/>
  <pivotFields count="2">
    <pivotField axis="axisRow" numFmtId="3" showAll="0">
      <items count="6">
        <item x="0"/>
        <item x="1"/>
        <item x="2"/>
        <item x="3"/>
        <item x="4"/>
        <item t="default"/>
      </items>
    </pivotField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średni czas [ms]" fld="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92873-F092-463C-BB20-5A3CEEE8FF9F}" name="Tabela przestawna1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10">
  <location ref="N30:Q37" firstHeaderRow="1" firstDataRow="2" firstDataCol="1"/>
  <pivotFields count="3">
    <pivotField axis="axisCol" showAll="0">
      <items count="3">
        <item x="1"/>
        <item x="0"/>
        <item t="default"/>
      </items>
    </pivotField>
    <pivotField axis="axisRow" numFmtId="3" showAll="0">
      <items count="6">
        <item x="0"/>
        <item x="1"/>
        <item x="2"/>
        <item x="3"/>
        <item x="4"/>
        <item t="default"/>
      </items>
    </pivotField>
    <pivotField dataField="1" numFmtId="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z średni czas [ms]" fld="2" baseField="0" baseItem="0" numFmtId="2"/>
  </dataFields>
  <chartFormats count="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08717-DF90-499D-9212-22B83955FF5C}" name="Tabela przestawna1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16">
  <location ref="B31:G38" firstHeaderRow="1" firstDataRow="2" firstDataCol="1"/>
  <pivotFields count="3">
    <pivotField axis="axisCol" showAll="0">
      <items count="5">
        <item x="0"/>
        <item x="2"/>
        <item x="3"/>
        <item x="1"/>
        <item t="default"/>
      </items>
    </pivotField>
    <pivotField axis="axisRow" numFmtId="3" showAll="0">
      <items count="6">
        <item x="0"/>
        <item x="1"/>
        <item x="2"/>
        <item x="3"/>
        <item x="4"/>
        <item t="default"/>
      </items>
    </pivotField>
    <pivotField dataField="1" numFmtId="2" showAll="0">
      <items count="19">
        <item x="5"/>
        <item x="0"/>
        <item x="10"/>
        <item x="1"/>
        <item x="6"/>
        <item x="11"/>
        <item x="15"/>
        <item x="2"/>
        <item x="7"/>
        <item x="12"/>
        <item x="16"/>
        <item x="3"/>
        <item x="8"/>
        <item x="13"/>
        <item x="17"/>
        <item x="4"/>
        <item x="9"/>
        <item x="1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a z średni czas [ms]" fld="2" baseField="0" baseItem="0" numFmtId="2"/>
  </dataFields>
  <chartFormats count="2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AF707-01CB-4FE5-811E-08C5B50C8406}" name="Tabela przestawna18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10">
  <location ref="BG31:BH37" firstHeaderRow="1" firstDataRow="1" firstDataCol="1"/>
  <pivotFields count="2">
    <pivotField axis="axisRow" numFmtId="3" showAll="0">
      <items count="6">
        <item x="0"/>
        <item x="1"/>
        <item x="2"/>
        <item x="3"/>
        <item x="4"/>
        <item t="default"/>
      </items>
    </pivotField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średni czas [ms]" fld="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F2CA4-2066-4E4B-95CF-3626E4FE0E22}" name="Tabela przestawna17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11">
  <location ref="AV31:AW37" firstHeaderRow="1" firstDataRow="1" firstDataCol="1"/>
  <pivotFields count="2">
    <pivotField axis="axisRow" numFmtId="3" showAll="0">
      <items count="6">
        <item x="0"/>
        <item x="1"/>
        <item x="2"/>
        <item x="3"/>
        <item x="4"/>
        <item t="default"/>
      </items>
    </pivotField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średni czas [ms]" fld="1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65F53-99E9-4ABF-85E2-C06944148233}" name="Tabela przestawna16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16">
  <location ref="AK31:AL37" firstHeaderRow="1" firstDataRow="1" firstDataCol="1"/>
  <pivotFields count="2">
    <pivotField axis="axisRow" numFmtId="3" showAll="0">
      <items count="7">
        <item m="1" x="5"/>
        <item x="1"/>
        <item x="2"/>
        <item x="3"/>
        <item x="4"/>
        <item x="0"/>
        <item t="default"/>
      </items>
    </pivotField>
    <pivotField dataField="1" numFmtId="2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średni czas [ms]" fld="1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C1F4C-1A60-4F82-B3FB-5C62FE27398F}" name="Tabela przestawna15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10">
  <location ref="X29:Y35" firstHeaderRow="1" firstDataRow="1" firstDataCol="1"/>
  <pivotFields count="2">
    <pivotField axis="axisRow" numFmtId="3" showAll="0">
      <items count="6">
        <item x="0"/>
        <item x="1"/>
        <item x="2"/>
        <item x="3"/>
        <item x="4"/>
        <item t="default"/>
      </items>
    </pivotField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średni czas [ms]" fld="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FCD41-B283-4F26-8F61-CF418001C9E0}" name="Tabela przestawna1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multipleFieldFilters="0" chartFormat="9">
  <location ref="Q38:V45" firstHeaderRow="1" firstDataRow="2" firstDataCol="1"/>
  <pivotFields count="10">
    <pivotField showAll="0"/>
    <pivotField axis="axisCol" showAll="0">
      <items count="5">
        <item x="0"/>
        <item x="2"/>
        <item x="3"/>
        <item x="1"/>
        <item t="default"/>
      </items>
    </pivotField>
    <pivotField numFmtId="3"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dataField="1" numFmtId="2" showAll="0"/>
    <pivotField showAll="0"/>
    <pivotField showAll="0"/>
    <pivotField showAll="0"/>
    <pivotField numFmtId="2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średni czas [ms]" fld="5" baseField="0" baseItem="0" numFmtId="2"/>
  </dataFields>
  <chartFormats count="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66EC-F09E-4374-9FDA-70928EAC35DB}">
  <dimension ref="B3:BZ38"/>
  <sheetViews>
    <sheetView topLeftCell="AP56" zoomScale="85" zoomScaleNormal="85" workbookViewId="0">
      <selection activeCell="BS65" sqref="BS65"/>
    </sheetView>
  </sheetViews>
  <sheetFormatPr defaultRowHeight="14.4" x14ac:dyDescent="0.3"/>
  <cols>
    <col min="2" max="2" width="22.109375" bestFit="1" customWidth="1"/>
    <col min="3" max="3" width="18.33203125" bestFit="1" customWidth="1"/>
    <col min="4" max="4" width="10.21875" bestFit="1" customWidth="1"/>
    <col min="5" max="5" width="8.6640625" bestFit="1" customWidth="1"/>
    <col min="6" max="6" width="18.77734375" customWidth="1"/>
    <col min="7" max="7" width="13.6640625" bestFit="1" customWidth="1"/>
    <col min="8" max="8" width="9" bestFit="1" customWidth="1"/>
    <col min="9" max="9" width="9.33203125" bestFit="1" customWidth="1"/>
    <col min="10" max="10" width="13.109375" bestFit="1" customWidth="1"/>
    <col min="11" max="11" width="14.21875" bestFit="1" customWidth="1"/>
    <col min="12" max="12" width="6.6640625" bestFit="1" customWidth="1"/>
    <col min="13" max="13" width="8.77734375" customWidth="1"/>
    <col min="14" max="14" width="22.109375" bestFit="1" customWidth="1"/>
    <col min="15" max="15" width="18.33203125" bestFit="1" customWidth="1"/>
    <col min="16" max="16" width="5.88671875" bestFit="1" customWidth="1"/>
    <col min="17" max="17" width="14.21875" bestFit="1" customWidth="1"/>
    <col min="18" max="18" width="15.5546875" bestFit="1" customWidth="1"/>
    <col min="19" max="19" width="9" bestFit="1" customWidth="1"/>
    <col min="20" max="20" width="9.33203125" bestFit="1" customWidth="1"/>
    <col min="21" max="21" width="13.109375" bestFit="1" customWidth="1"/>
    <col min="22" max="22" width="14.21875" bestFit="1" customWidth="1"/>
    <col min="23" max="23" width="6.6640625" bestFit="1" customWidth="1"/>
    <col min="24" max="24" width="18.109375" bestFit="1" customWidth="1"/>
    <col min="25" max="25" width="22.33203125" bestFit="1" customWidth="1"/>
    <col min="26" max="26" width="10" bestFit="1" customWidth="1"/>
    <col min="27" max="27" width="10.77734375" bestFit="1" customWidth="1"/>
    <col min="28" max="28" width="23.88671875" bestFit="1" customWidth="1"/>
    <col min="29" max="29" width="14.88671875" bestFit="1" customWidth="1"/>
    <col min="30" max="30" width="8.33203125" bestFit="1" customWidth="1"/>
    <col min="31" max="31" width="8.6640625" bestFit="1" customWidth="1"/>
    <col min="32" max="32" width="12.5546875" bestFit="1" customWidth="1"/>
    <col min="33" max="33" width="14.21875" bestFit="1" customWidth="1"/>
    <col min="34" max="34" width="14.88671875" customWidth="1"/>
    <col min="35" max="36" width="13.33203125" customWidth="1"/>
    <col min="37" max="37" width="16.5546875" bestFit="1" customWidth="1"/>
    <col min="38" max="38" width="20.88671875" bestFit="1" customWidth="1"/>
    <col min="39" max="39" width="10.44140625" bestFit="1" customWidth="1"/>
    <col min="40" max="40" width="11.21875" bestFit="1" customWidth="1"/>
    <col min="41" max="41" width="16.5546875" bestFit="1" customWidth="1"/>
    <col min="42" max="42" width="15.109375" bestFit="1" customWidth="1"/>
    <col min="43" max="43" width="8.6640625" bestFit="1" customWidth="1"/>
    <col min="44" max="44" width="8.77734375" bestFit="1" customWidth="1"/>
    <col min="45" max="45" width="12.6640625" bestFit="1" customWidth="1"/>
    <col min="46" max="46" width="14.77734375" bestFit="1" customWidth="1"/>
    <col min="48" max="48" width="19" bestFit="1" customWidth="1"/>
    <col min="49" max="49" width="21.77734375" bestFit="1" customWidth="1"/>
    <col min="50" max="50" width="10.44140625" bestFit="1" customWidth="1"/>
    <col min="51" max="51" width="11.21875" bestFit="1" customWidth="1"/>
    <col min="52" max="52" width="16.5546875" bestFit="1" customWidth="1"/>
    <col min="53" max="53" width="15.109375" bestFit="1" customWidth="1"/>
    <col min="54" max="54" width="8.6640625" bestFit="1" customWidth="1"/>
    <col min="55" max="55" width="8.77734375" bestFit="1" customWidth="1"/>
    <col min="56" max="56" width="12.6640625" bestFit="1" customWidth="1"/>
    <col min="57" max="57" width="14.77734375" bestFit="1" customWidth="1"/>
    <col min="59" max="59" width="17.77734375" bestFit="1" customWidth="1"/>
    <col min="60" max="60" width="22" bestFit="1" customWidth="1"/>
    <col min="61" max="61" width="11.21875" bestFit="1" customWidth="1"/>
    <col min="62" max="62" width="16.5546875" bestFit="1" customWidth="1"/>
    <col min="63" max="63" width="15.109375" bestFit="1" customWidth="1"/>
    <col min="64" max="64" width="8.6640625" bestFit="1" customWidth="1"/>
    <col min="65" max="65" width="8.77734375" bestFit="1" customWidth="1"/>
    <col min="66" max="66" width="12.6640625" bestFit="1" customWidth="1"/>
    <col min="67" max="67" width="14.77734375" bestFit="1" customWidth="1"/>
    <col min="70" max="70" width="19.77734375" bestFit="1" customWidth="1"/>
    <col min="71" max="71" width="23" bestFit="1" customWidth="1"/>
    <col min="72" max="72" width="11.21875" bestFit="1" customWidth="1"/>
    <col min="73" max="73" width="16.5546875" bestFit="1" customWidth="1"/>
    <col min="74" max="74" width="15.109375" bestFit="1" customWidth="1"/>
    <col min="75" max="75" width="8.6640625" bestFit="1" customWidth="1"/>
    <col min="76" max="76" width="8.77734375" bestFit="1" customWidth="1"/>
    <col min="77" max="77" width="12.6640625" bestFit="1" customWidth="1"/>
    <col min="78" max="78" width="14.77734375" bestFit="1" customWidth="1"/>
  </cols>
  <sheetData>
    <row r="3" spans="2:78" ht="15" thickBot="1" x14ac:dyDescent="0.35"/>
    <row r="4" spans="2:78" ht="15" thickBot="1" x14ac:dyDescent="0.35">
      <c r="B4" s="59" t="s">
        <v>0</v>
      </c>
      <c r="C4" s="60"/>
      <c r="D4" s="60"/>
      <c r="E4" s="60"/>
      <c r="F4" s="61"/>
      <c r="G4" s="59" t="s">
        <v>1</v>
      </c>
      <c r="H4" s="60"/>
      <c r="I4" s="60"/>
      <c r="J4" s="60"/>
      <c r="K4" s="61"/>
      <c r="L4" s="4"/>
      <c r="M4" s="59" t="s">
        <v>0</v>
      </c>
      <c r="N4" s="60"/>
      <c r="O4" s="60"/>
      <c r="P4" s="60"/>
      <c r="Q4" s="61"/>
      <c r="R4" s="59" t="s">
        <v>1</v>
      </c>
      <c r="S4" s="60"/>
      <c r="T4" s="60"/>
      <c r="U4" s="60"/>
      <c r="V4" s="61"/>
    </row>
    <row r="5" spans="2:78" ht="15" thickBot="1" x14ac:dyDescent="0.35">
      <c r="B5" s="1" t="s">
        <v>2</v>
      </c>
      <c r="C5" s="2" t="s">
        <v>3</v>
      </c>
      <c r="D5" s="2" t="s">
        <v>4</v>
      </c>
      <c r="E5" s="2" t="s">
        <v>5</v>
      </c>
      <c r="F5" s="3" t="s">
        <v>6</v>
      </c>
      <c r="G5" s="1" t="s">
        <v>7</v>
      </c>
      <c r="H5" s="2" t="s">
        <v>8</v>
      </c>
      <c r="I5" s="2" t="s">
        <v>9</v>
      </c>
      <c r="J5" s="2" t="s">
        <v>10</v>
      </c>
      <c r="K5" s="3" t="s">
        <v>11</v>
      </c>
      <c r="L5" s="4"/>
      <c r="M5" s="1" t="s">
        <v>2</v>
      </c>
      <c r="N5" s="2" t="s">
        <v>3</v>
      </c>
      <c r="O5" s="2" t="s">
        <v>4</v>
      </c>
      <c r="P5" s="2" t="s">
        <v>12</v>
      </c>
      <c r="Q5" s="3" t="s">
        <v>6</v>
      </c>
      <c r="R5" s="1" t="s">
        <v>7</v>
      </c>
      <c r="S5" s="2" t="s">
        <v>8</v>
      </c>
      <c r="T5" s="2" t="s">
        <v>9</v>
      </c>
      <c r="U5" s="2" t="s">
        <v>10</v>
      </c>
      <c r="V5" s="3" t="s">
        <v>11</v>
      </c>
    </row>
    <row r="6" spans="2:78" ht="15" thickBot="1" x14ac:dyDescent="0.35">
      <c r="B6" s="5" t="s">
        <v>13</v>
      </c>
      <c r="C6" s="6" t="s">
        <v>14</v>
      </c>
      <c r="D6" s="6" t="s">
        <v>15</v>
      </c>
      <c r="E6" s="7" t="s">
        <v>16</v>
      </c>
      <c r="F6" s="8">
        <v>10000</v>
      </c>
      <c r="G6" s="9">
        <v>1.03</v>
      </c>
      <c r="H6" s="10">
        <v>1</v>
      </c>
      <c r="I6" s="10">
        <v>4</v>
      </c>
      <c r="J6" s="10">
        <v>1</v>
      </c>
      <c r="K6" s="11">
        <v>0.3</v>
      </c>
      <c r="M6" s="5" t="s">
        <v>17</v>
      </c>
      <c r="N6" s="10" t="s">
        <v>14</v>
      </c>
      <c r="O6" s="10" t="s">
        <v>15</v>
      </c>
      <c r="P6" s="7" t="s">
        <v>18</v>
      </c>
      <c r="Q6" s="8">
        <v>10000</v>
      </c>
      <c r="R6" s="9">
        <v>3</v>
      </c>
      <c r="S6" s="10">
        <v>3</v>
      </c>
      <c r="T6" s="10">
        <v>3</v>
      </c>
      <c r="U6" s="10">
        <v>3</v>
      </c>
      <c r="V6" s="11">
        <v>0</v>
      </c>
      <c r="X6" s="59" t="s">
        <v>0</v>
      </c>
      <c r="Y6" s="60"/>
      <c r="Z6" s="60"/>
      <c r="AA6" s="60"/>
      <c r="AB6" s="61"/>
      <c r="AC6" s="59" t="s">
        <v>1</v>
      </c>
      <c r="AD6" s="60"/>
      <c r="AE6" s="60"/>
      <c r="AF6" s="60"/>
      <c r="AG6" s="61"/>
      <c r="AK6" s="59" t="s">
        <v>0</v>
      </c>
      <c r="AL6" s="60"/>
      <c r="AM6" s="60"/>
      <c r="AN6" s="60"/>
      <c r="AO6" s="61"/>
      <c r="AP6" s="59" t="s">
        <v>1</v>
      </c>
      <c r="AQ6" s="60"/>
      <c r="AR6" s="60"/>
      <c r="AS6" s="60"/>
      <c r="AT6" s="61"/>
      <c r="AU6" s="4"/>
      <c r="AV6" s="59" t="s">
        <v>0</v>
      </c>
      <c r="AW6" s="60"/>
      <c r="AX6" s="60"/>
      <c r="AY6" s="60"/>
      <c r="AZ6" s="61"/>
      <c r="BA6" s="59" t="s">
        <v>1</v>
      </c>
      <c r="BB6" s="60"/>
      <c r="BC6" s="60"/>
      <c r="BD6" s="60"/>
      <c r="BE6" s="61"/>
      <c r="BG6" s="59" t="s">
        <v>0</v>
      </c>
      <c r="BH6" s="60"/>
      <c r="BI6" s="60"/>
      <c r="BJ6" s="61"/>
      <c r="BK6" s="59" t="s">
        <v>1</v>
      </c>
      <c r="BL6" s="60"/>
      <c r="BM6" s="60"/>
      <c r="BN6" s="60"/>
      <c r="BO6" s="61"/>
      <c r="BP6" s="4"/>
      <c r="BR6" s="59" t="s">
        <v>0</v>
      </c>
      <c r="BS6" s="60"/>
      <c r="BT6" s="60"/>
      <c r="BU6" s="61"/>
      <c r="BV6" s="59" t="s">
        <v>1</v>
      </c>
      <c r="BW6" s="60"/>
      <c r="BX6" s="60"/>
      <c r="BY6" s="60"/>
      <c r="BZ6" s="61"/>
    </row>
    <row r="7" spans="2:78" ht="15" thickBot="1" x14ac:dyDescent="0.35">
      <c r="B7" s="5" t="s">
        <v>13</v>
      </c>
      <c r="C7" s="6" t="s">
        <v>14</v>
      </c>
      <c r="D7" s="6" t="s">
        <v>15</v>
      </c>
      <c r="E7" s="7" t="s">
        <v>16</v>
      </c>
      <c r="F7" s="8">
        <v>20000</v>
      </c>
      <c r="G7" s="9">
        <v>3</v>
      </c>
      <c r="H7" s="10">
        <v>3</v>
      </c>
      <c r="I7" s="10">
        <v>3</v>
      </c>
      <c r="J7" s="10">
        <v>3</v>
      </c>
      <c r="K7" s="11">
        <v>0</v>
      </c>
      <c r="M7" s="5" t="s">
        <v>17</v>
      </c>
      <c r="N7" s="10" t="s">
        <v>14</v>
      </c>
      <c r="O7" s="10" t="s">
        <v>15</v>
      </c>
      <c r="P7" s="7" t="s">
        <v>18</v>
      </c>
      <c r="Q7" s="8">
        <v>20000</v>
      </c>
      <c r="R7" s="9">
        <v>7.42</v>
      </c>
      <c r="S7" s="10">
        <v>7</v>
      </c>
      <c r="T7" s="10">
        <v>8</v>
      </c>
      <c r="U7" s="10">
        <v>7</v>
      </c>
      <c r="V7" s="11">
        <v>0.5</v>
      </c>
      <c r="X7" s="1" t="s">
        <v>2</v>
      </c>
      <c r="Y7" s="2" t="s">
        <v>6</v>
      </c>
      <c r="Z7" s="2" t="s">
        <v>4</v>
      </c>
      <c r="AA7" s="2" t="s">
        <v>3</v>
      </c>
      <c r="AB7" s="3" t="s">
        <v>25</v>
      </c>
      <c r="AC7" s="1" t="s">
        <v>7</v>
      </c>
      <c r="AD7" s="2" t="s">
        <v>8</v>
      </c>
      <c r="AE7" s="2" t="s">
        <v>9</v>
      </c>
      <c r="AF7" s="2" t="s">
        <v>10</v>
      </c>
      <c r="AG7" s="3" t="s">
        <v>11</v>
      </c>
      <c r="AK7" s="1" t="s">
        <v>2</v>
      </c>
      <c r="AL7" s="2" t="s">
        <v>5</v>
      </c>
      <c r="AM7" s="2" t="s">
        <v>4</v>
      </c>
      <c r="AN7" s="2" t="s">
        <v>3</v>
      </c>
      <c r="AO7" s="3" t="s">
        <v>6</v>
      </c>
      <c r="AP7" s="1" t="s">
        <v>7</v>
      </c>
      <c r="AQ7" s="2" t="s">
        <v>8</v>
      </c>
      <c r="AR7" s="2" t="s">
        <v>9</v>
      </c>
      <c r="AS7" s="2" t="s">
        <v>10</v>
      </c>
      <c r="AT7" s="3" t="s">
        <v>11</v>
      </c>
      <c r="AU7" s="4"/>
      <c r="AV7" s="1" t="s">
        <v>2</v>
      </c>
      <c r="AW7" s="2" t="s">
        <v>12</v>
      </c>
      <c r="AX7" s="2" t="s">
        <v>4</v>
      </c>
      <c r="AY7" s="2" t="s">
        <v>3</v>
      </c>
      <c r="AZ7" s="3" t="s">
        <v>6</v>
      </c>
      <c r="BA7" s="1" t="s">
        <v>7</v>
      </c>
      <c r="BB7" s="2" t="s">
        <v>8</v>
      </c>
      <c r="BC7" s="2" t="s">
        <v>9</v>
      </c>
      <c r="BD7" s="2" t="s">
        <v>10</v>
      </c>
      <c r="BE7" s="3" t="s">
        <v>11</v>
      </c>
      <c r="BG7" s="1" t="s">
        <v>2</v>
      </c>
      <c r="BH7" s="2" t="s">
        <v>4</v>
      </c>
      <c r="BI7" s="2" t="s">
        <v>3</v>
      </c>
      <c r="BJ7" s="3" t="s">
        <v>6</v>
      </c>
      <c r="BK7" s="1" t="s">
        <v>7</v>
      </c>
      <c r="BL7" s="2" t="s">
        <v>8</v>
      </c>
      <c r="BM7" s="2" t="s">
        <v>9</v>
      </c>
      <c r="BN7" s="2" t="s">
        <v>10</v>
      </c>
      <c r="BO7" s="3" t="s">
        <v>11</v>
      </c>
      <c r="BP7" s="4"/>
      <c r="BR7" s="1" t="s">
        <v>2</v>
      </c>
      <c r="BS7" s="2" t="s">
        <v>4</v>
      </c>
      <c r="BT7" s="2" t="s">
        <v>3</v>
      </c>
      <c r="BU7" s="3" t="s">
        <v>6</v>
      </c>
      <c r="BV7" s="1" t="s">
        <v>7</v>
      </c>
      <c r="BW7" s="2" t="s">
        <v>8</v>
      </c>
      <c r="BX7" s="2" t="s">
        <v>9</v>
      </c>
      <c r="BY7" s="2" t="s">
        <v>10</v>
      </c>
      <c r="BZ7" s="3" t="s">
        <v>11</v>
      </c>
    </row>
    <row r="8" spans="2:78" x14ac:dyDescent="0.3">
      <c r="B8" s="5" t="s">
        <v>13</v>
      </c>
      <c r="C8" s="6" t="s">
        <v>14</v>
      </c>
      <c r="D8" s="6" t="s">
        <v>15</v>
      </c>
      <c r="E8" s="7" t="s">
        <v>16</v>
      </c>
      <c r="F8" s="8">
        <v>30000</v>
      </c>
      <c r="G8" s="9">
        <v>5.05</v>
      </c>
      <c r="H8" s="10">
        <v>5</v>
      </c>
      <c r="I8" s="10">
        <v>6</v>
      </c>
      <c r="J8" s="10">
        <v>5</v>
      </c>
      <c r="K8" s="11">
        <v>0.22</v>
      </c>
      <c r="M8" s="5" t="s">
        <v>17</v>
      </c>
      <c r="N8" s="10" t="s">
        <v>14</v>
      </c>
      <c r="O8" s="10" t="s">
        <v>15</v>
      </c>
      <c r="P8" s="7" t="s">
        <v>18</v>
      </c>
      <c r="Q8" s="8">
        <v>30000</v>
      </c>
      <c r="R8" s="9">
        <v>11.9</v>
      </c>
      <c r="S8" s="10">
        <v>11</v>
      </c>
      <c r="T8" s="10">
        <v>13</v>
      </c>
      <c r="U8" s="10">
        <v>12</v>
      </c>
      <c r="V8" s="11">
        <v>0.33</v>
      </c>
      <c r="X8" s="5" t="s">
        <v>30</v>
      </c>
      <c r="Y8" s="6">
        <v>50000</v>
      </c>
      <c r="Z8" s="6" t="s">
        <v>15</v>
      </c>
      <c r="AA8" s="6" t="s">
        <v>14</v>
      </c>
      <c r="AB8" s="8">
        <v>10</v>
      </c>
      <c r="AC8" s="9">
        <v>183.7</v>
      </c>
      <c r="AD8" s="10">
        <v>143</v>
      </c>
      <c r="AE8" s="10">
        <v>283</v>
      </c>
      <c r="AF8" s="10">
        <v>169</v>
      </c>
      <c r="AG8" s="11">
        <v>39.700000000000003</v>
      </c>
      <c r="AK8" s="5" t="s">
        <v>13</v>
      </c>
      <c r="AL8" s="10" t="s">
        <v>22</v>
      </c>
      <c r="AM8" s="10" t="s">
        <v>15</v>
      </c>
      <c r="AN8" s="10" t="s">
        <v>14</v>
      </c>
      <c r="AO8" s="8">
        <v>10000</v>
      </c>
      <c r="AP8" s="9">
        <v>1</v>
      </c>
      <c r="AQ8" s="10">
        <v>1</v>
      </c>
      <c r="AR8" s="10">
        <v>1</v>
      </c>
      <c r="AS8" s="10">
        <v>1</v>
      </c>
      <c r="AT8" s="11">
        <v>0</v>
      </c>
      <c r="AV8" s="5" t="s">
        <v>17</v>
      </c>
      <c r="AW8" s="10" t="s">
        <v>20</v>
      </c>
      <c r="AX8" s="10" t="s">
        <v>15</v>
      </c>
      <c r="AY8" s="10" t="s">
        <v>14</v>
      </c>
      <c r="AZ8" s="8">
        <v>10000</v>
      </c>
      <c r="BA8" s="9">
        <v>3.04</v>
      </c>
      <c r="BB8" s="10">
        <v>2</v>
      </c>
      <c r="BC8" s="10">
        <v>7</v>
      </c>
      <c r="BD8" s="10">
        <v>3</v>
      </c>
      <c r="BE8" s="11">
        <v>0.42</v>
      </c>
      <c r="BG8" s="5" t="s">
        <v>23</v>
      </c>
      <c r="BH8" s="10" t="s">
        <v>15</v>
      </c>
      <c r="BI8" s="10" t="s">
        <v>14</v>
      </c>
      <c r="BJ8" s="8">
        <v>10000</v>
      </c>
      <c r="BK8" s="9">
        <v>259.2</v>
      </c>
      <c r="BL8" s="10">
        <v>253</v>
      </c>
      <c r="BM8" s="10">
        <v>311</v>
      </c>
      <c r="BN8" s="10">
        <v>258</v>
      </c>
      <c r="BO8" s="11">
        <v>5.96</v>
      </c>
      <c r="BR8" s="5" t="s">
        <v>24</v>
      </c>
      <c r="BS8" s="10" t="s">
        <v>15</v>
      </c>
      <c r="BT8" s="10" t="s">
        <v>14</v>
      </c>
      <c r="BU8" s="8">
        <v>10000</v>
      </c>
      <c r="BV8" s="9">
        <v>3</v>
      </c>
      <c r="BW8" s="10">
        <v>3</v>
      </c>
      <c r="BX8" s="10">
        <v>3</v>
      </c>
      <c r="BY8" s="10">
        <v>3</v>
      </c>
      <c r="BZ8" s="11">
        <v>0</v>
      </c>
    </row>
    <row r="9" spans="2:78" x14ac:dyDescent="0.3">
      <c r="B9" s="5" t="s">
        <v>13</v>
      </c>
      <c r="C9" s="6" t="s">
        <v>14</v>
      </c>
      <c r="D9" s="6" t="s">
        <v>15</v>
      </c>
      <c r="E9" s="7" t="s">
        <v>16</v>
      </c>
      <c r="F9" s="8">
        <v>40000</v>
      </c>
      <c r="G9" s="9">
        <v>7.08</v>
      </c>
      <c r="H9" s="10">
        <v>7</v>
      </c>
      <c r="I9" s="10">
        <v>8</v>
      </c>
      <c r="J9" s="10">
        <v>7</v>
      </c>
      <c r="K9" s="11">
        <v>0.27</v>
      </c>
      <c r="M9" s="5" t="s">
        <v>17</v>
      </c>
      <c r="N9" s="10" t="s">
        <v>14</v>
      </c>
      <c r="O9" s="10" t="s">
        <v>15</v>
      </c>
      <c r="P9" s="7" t="s">
        <v>18</v>
      </c>
      <c r="Q9" s="8">
        <v>40000</v>
      </c>
      <c r="R9" s="9">
        <v>17.829999999999998</v>
      </c>
      <c r="S9" s="10">
        <v>17</v>
      </c>
      <c r="T9" s="10">
        <v>32</v>
      </c>
      <c r="U9" s="10">
        <v>18</v>
      </c>
      <c r="V9" s="11">
        <v>1.54</v>
      </c>
      <c r="X9" s="5" t="s">
        <v>30</v>
      </c>
      <c r="Y9" s="6">
        <v>50000</v>
      </c>
      <c r="Z9" s="6" t="s">
        <v>15</v>
      </c>
      <c r="AA9" s="6" t="s">
        <v>14</v>
      </c>
      <c r="AB9" s="8">
        <v>25</v>
      </c>
      <c r="AC9" s="9">
        <v>243.97</v>
      </c>
      <c r="AD9" s="10">
        <v>173</v>
      </c>
      <c r="AE9" s="10">
        <v>301</v>
      </c>
      <c r="AF9" s="10">
        <v>248.5</v>
      </c>
      <c r="AG9" s="11">
        <v>21.15</v>
      </c>
      <c r="AK9" s="5" t="s">
        <v>13</v>
      </c>
      <c r="AL9" s="10" t="s">
        <v>22</v>
      </c>
      <c r="AM9" s="10" t="s">
        <v>15</v>
      </c>
      <c r="AN9" s="10" t="s">
        <v>14</v>
      </c>
      <c r="AO9" s="8">
        <v>20000</v>
      </c>
      <c r="AP9" s="9">
        <v>3</v>
      </c>
      <c r="AQ9" s="10">
        <v>3</v>
      </c>
      <c r="AR9" s="10">
        <v>3</v>
      </c>
      <c r="AS9" s="10">
        <v>3</v>
      </c>
      <c r="AT9" s="11">
        <v>0</v>
      </c>
      <c r="AV9" s="5" t="s">
        <v>17</v>
      </c>
      <c r="AW9" s="10" t="s">
        <v>20</v>
      </c>
      <c r="AX9" s="10" t="s">
        <v>15</v>
      </c>
      <c r="AY9" s="10" t="s">
        <v>14</v>
      </c>
      <c r="AZ9" s="8">
        <v>20000</v>
      </c>
      <c r="BA9" s="9">
        <v>6.88</v>
      </c>
      <c r="BB9" s="10">
        <v>6</v>
      </c>
      <c r="BC9" s="10">
        <v>8</v>
      </c>
      <c r="BD9" s="10">
        <v>7</v>
      </c>
      <c r="BE9" s="11">
        <v>0.36</v>
      </c>
      <c r="BG9" s="5" t="s">
        <v>23</v>
      </c>
      <c r="BH9" s="10" t="s">
        <v>15</v>
      </c>
      <c r="BI9" s="10" t="s">
        <v>14</v>
      </c>
      <c r="BJ9" s="8">
        <v>20000</v>
      </c>
      <c r="BK9" s="9">
        <v>1040.78</v>
      </c>
      <c r="BL9" s="10">
        <v>1010</v>
      </c>
      <c r="BM9" s="10">
        <v>1228</v>
      </c>
      <c r="BN9" s="10">
        <v>1036.5</v>
      </c>
      <c r="BO9" s="11">
        <v>28.67</v>
      </c>
      <c r="BR9" s="5" t="s">
        <v>24</v>
      </c>
      <c r="BS9" s="10" t="s">
        <v>15</v>
      </c>
      <c r="BT9" s="10" t="s">
        <v>14</v>
      </c>
      <c r="BU9" s="8">
        <v>20000</v>
      </c>
      <c r="BV9" s="9">
        <v>7.06</v>
      </c>
      <c r="BW9" s="10">
        <v>7</v>
      </c>
      <c r="BX9" s="10">
        <v>13</v>
      </c>
      <c r="BY9" s="10">
        <v>7</v>
      </c>
      <c r="BZ9" s="11">
        <v>0.6</v>
      </c>
    </row>
    <row r="10" spans="2:78" x14ac:dyDescent="0.3">
      <c r="B10" s="5" t="s">
        <v>13</v>
      </c>
      <c r="C10" s="6" t="s">
        <v>14</v>
      </c>
      <c r="D10" s="6" t="s">
        <v>15</v>
      </c>
      <c r="E10" s="7" t="s">
        <v>16</v>
      </c>
      <c r="F10" s="8">
        <v>50000</v>
      </c>
      <c r="G10" s="9">
        <v>9.16</v>
      </c>
      <c r="H10" s="10">
        <v>9</v>
      </c>
      <c r="I10" s="10">
        <v>10</v>
      </c>
      <c r="J10" s="10">
        <v>9</v>
      </c>
      <c r="K10" s="11">
        <v>0.37</v>
      </c>
      <c r="M10" s="5" t="s">
        <v>17</v>
      </c>
      <c r="N10" s="10" t="s">
        <v>14</v>
      </c>
      <c r="O10" s="10" t="s">
        <v>15</v>
      </c>
      <c r="P10" s="7" t="s">
        <v>18</v>
      </c>
      <c r="Q10" s="8">
        <v>50000</v>
      </c>
      <c r="R10" s="9">
        <v>23.06</v>
      </c>
      <c r="S10" s="10">
        <v>22</v>
      </c>
      <c r="T10" s="10">
        <v>26</v>
      </c>
      <c r="U10" s="10">
        <v>23</v>
      </c>
      <c r="V10" s="11">
        <v>0.63</v>
      </c>
      <c r="X10" s="5" t="s">
        <v>30</v>
      </c>
      <c r="Y10" s="6">
        <v>50000</v>
      </c>
      <c r="Z10" s="6" t="s">
        <v>15</v>
      </c>
      <c r="AA10" s="6" t="s">
        <v>14</v>
      </c>
      <c r="AB10" s="8">
        <v>50</v>
      </c>
      <c r="AC10" s="9">
        <v>398.43</v>
      </c>
      <c r="AD10" s="10">
        <v>313</v>
      </c>
      <c r="AE10" s="10">
        <v>467</v>
      </c>
      <c r="AF10" s="10">
        <v>393.5</v>
      </c>
      <c r="AG10" s="11">
        <v>30.13</v>
      </c>
      <c r="AK10" s="5" t="s">
        <v>13</v>
      </c>
      <c r="AL10" s="10" t="s">
        <v>22</v>
      </c>
      <c r="AM10" s="10" t="s">
        <v>15</v>
      </c>
      <c r="AN10" s="10" t="s">
        <v>14</v>
      </c>
      <c r="AO10" s="8">
        <v>30000</v>
      </c>
      <c r="AP10" s="9">
        <v>5</v>
      </c>
      <c r="AQ10" s="10">
        <v>5</v>
      </c>
      <c r="AR10" s="10">
        <v>5</v>
      </c>
      <c r="AS10" s="10">
        <v>5</v>
      </c>
      <c r="AT10" s="11">
        <v>0</v>
      </c>
      <c r="AV10" s="5" t="s">
        <v>17</v>
      </c>
      <c r="AW10" s="10" t="s">
        <v>20</v>
      </c>
      <c r="AX10" s="10" t="s">
        <v>15</v>
      </c>
      <c r="AY10" s="10" t="s">
        <v>14</v>
      </c>
      <c r="AZ10" s="8">
        <v>30000</v>
      </c>
      <c r="BA10" s="9">
        <v>11.08</v>
      </c>
      <c r="BB10" s="10">
        <v>10</v>
      </c>
      <c r="BC10" s="10">
        <v>12</v>
      </c>
      <c r="BD10" s="10">
        <v>11</v>
      </c>
      <c r="BE10" s="11">
        <v>0.34</v>
      </c>
      <c r="BG10" s="5" t="s">
        <v>23</v>
      </c>
      <c r="BH10" s="10" t="s">
        <v>15</v>
      </c>
      <c r="BI10" s="10" t="s">
        <v>14</v>
      </c>
      <c r="BJ10" s="8">
        <v>30000</v>
      </c>
      <c r="BK10" s="9">
        <v>2315.52</v>
      </c>
      <c r="BL10" s="10">
        <v>2268</v>
      </c>
      <c r="BM10" s="10">
        <v>2729</v>
      </c>
      <c r="BN10" s="10">
        <v>2306</v>
      </c>
      <c r="BO10" s="11">
        <v>49.89</v>
      </c>
      <c r="BR10" s="5" t="s">
        <v>24</v>
      </c>
      <c r="BS10" s="10" t="s">
        <v>15</v>
      </c>
      <c r="BT10" s="10" t="s">
        <v>14</v>
      </c>
      <c r="BU10" s="8">
        <v>30000</v>
      </c>
      <c r="BV10" s="9">
        <v>11.02</v>
      </c>
      <c r="BW10" s="10">
        <v>10</v>
      </c>
      <c r="BX10" s="10">
        <v>18</v>
      </c>
      <c r="BY10" s="10">
        <v>11</v>
      </c>
      <c r="BZ10" s="11">
        <v>0.74</v>
      </c>
    </row>
    <row r="11" spans="2:78" x14ac:dyDescent="0.3">
      <c r="B11" s="12" t="s">
        <v>13</v>
      </c>
      <c r="C11" s="13" t="s">
        <v>14</v>
      </c>
      <c r="D11" s="13" t="s">
        <v>15</v>
      </c>
      <c r="E11" s="14" t="s">
        <v>19</v>
      </c>
      <c r="F11" s="15">
        <v>10000</v>
      </c>
      <c r="G11" s="16">
        <v>1</v>
      </c>
      <c r="H11" s="13">
        <v>1</v>
      </c>
      <c r="I11" s="13">
        <v>1</v>
      </c>
      <c r="J11" s="13">
        <v>1</v>
      </c>
      <c r="K11" s="17">
        <v>0</v>
      </c>
      <c r="M11" s="12" t="s">
        <v>17</v>
      </c>
      <c r="N11" s="13" t="s">
        <v>14</v>
      </c>
      <c r="O11" s="13" t="s">
        <v>15</v>
      </c>
      <c r="P11" s="14" t="s">
        <v>20</v>
      </c>
      <c r="Q11" s="15">
        <v>10000</v>
      </c>
      <c r="R11" s="16">
        <v>3.04</v>
      </c>
      <c r="S11" s="13">
        <v>2</v>
      </c>
      <c r="T11" s="13">
        <v>7</v>
      </c>
      <c r="U11" s="13">
        <v>3</v>
      </c>
      <c r="V11" s="17">
        <v>0.42</v>
      </c>
      <c r="X11" s="5" t="s">
        <v>30</v>
      </c>
      <c r="Y11" s="6">
        <v>50000</v>
      </c>
      <c r="Z11" s="6" t="s">
        <v>15</v>
      </c>
      <c r="AA11" s="6" t="s">
        <v>14</v>
      </c>
      <c r="AB11" s="8">
        <v>75</v>
      </c>
      <c r="AC11" s="9">
        <v>540.34</v>
      </c>
      <c r="AD11" s="10">
        <v>466</v>
      </c>
      <c r="AE11" s="10">
        <v>639</v>
      </c>
      <c r="AF11" s="10">
        <v>539.5</v>
      </c>
      <c r="AG11" s="11">
        <v>34.72</v>
      </c>
      <c r="AK11" s="5" t="s">
        <v>13</v>
      </c>
      <c r="AL11" s="10" t="s">
        <v>22</v>
      </c>
      <c r="AM11" s="10" t="s">
        <v>15</v>
      </c>
      <c r="AN11" s="10" t="s">
        <v>14</v>
      </c>
      <c r="AO11" s="8">
        <v>40000</v>
      </c>
      <c r="AP11" s="9">
        <v>7</v>
      </c>
      <c r="AQ11" s="10">
        <v>7</v>
      </c>
      <c r="AR11" s="10">
        <v>7</v>
      </c>
      <c r="AS11" s="10">
        <v>7</v>
      </c>
      <c r="AT11" s="11">
        <v>0</v>
      </c>
      <c r="AV11" s="5" t="s">
        <v>17</v>
      </c>
      <c r="AW11" s="10" t="s">
        <v>20</v>
      </c>
      <c r="AX11" s="10" t="s">
        <v>15</v>
      </c>
      <c r="AY11" s="10" t="s">
        <v>14</v>
      </c>
      <c r="AZ11" s="8">
        <v>40000</v>
      </c>
      <c r="BA11" s="9">
        <v>15.74</v>
      </c>
      <c r="BB11" s="10">
        <v>15</v>
      </c>
      <c r="BC11" s="10">
        <v>17</v>
      </c>
      <c r="BD11" s="10">
        <v>16</v>
      </c>
      <c r="BE11" s="11">
        <v>0.57999999999999996</v>
      </c>
      <c r="BG11" s="5" t="s">
        <v>23</v>
      </c>
      <c r="BH11" s="10" t="s">
        <v>15</v>
      </c>
      <c r="BI11" s="10" t="s">
        <v>14</v>
      </c>
      <c r="BJ11" s="8">
        <v>40000</v>
      </c>
      <c r="BK11" s="9">
        <v>4255.5</v>
      </c>
      <c r="BL11" s="10">
        <v>4040</v>
      </c>
      <c r="BM11" s="10">
        <v>4896</v>
      </c>
      <c r="BN11" s="10">
        <v>4254</v>
      </c>
      <c r="BO11" s="11">
        <v>137.29</v>
      </c>
      <c r="BR11" s="5" t="s">
        <v>24</v>
      </c>
      <c r="BS11" s="10" t="s">
        <v>15</v>
      </c>
      <c r="BT11" s="10" t="s">
        <v>14</v>
      </c>
      <c r="BU11" s="8">
        <v>40000</v>
      </c>
      <c r="BV11" s="9">
        <v>15</v>
      </c>
      <c r="BW11" s="10">
        <v>15</v>
      </c>
      <c r="BX11" s="10">
        <v>15</v>
      </c>
      <c r="BY11" s="10">
        <v>15</v>
      </c>
      <c r="BZ11" s="11">
        <v>0</v>
      </c>
    </row>
    <row r="12" spans="2:78" ht="15" thickBot="1" x14ac:dyDescent="0.35">
      <c r="B12" s="12" t="s">
        <v>13</v>
      </c>
      <c r="C12" s="13" t="s">
        <v>14</v>
      </c>
      <c r="D12" s="13" t="s">
        <v>15</v>
      </c>
      <c r="E12" s="14" t="s">
        <v>19</v>
      </c>
      <c r="F12" s="15">
        <v>20000</v>
      </c>
      <c r="G12" s="16">
        <v>3.07</v>
      </c>
      <c r="H12" s="13">
        <v>3</v>
      </c>
      <c r="I12" s="13">
        <v>7</v>
      </c>
      <c r="J12" s="13">
        <v>3</v>
      </c>
      <c r="K12" s="17">
        <v>0.43</v>
      </c>
      <c r="M12" s="12" t="s">
        <v>17</v>
      </c>
      <c r="N12" s="13" t="s">
        <v>14</v>
      </c>
      <c r="O12" s="13" t="s">
        <v>15</v>
      </c>
      <c r="P12" s="14" t="s">
        <v>20</v>
      </c>
      <c r="Q12" s="15">
        <v>20000</v>
      </c>
      <c r="R12" s="16">
        <v>6.88</v>
      </c>
      <c r="S12" s="13">
        <v>6</v>
      </c>
      <c r="T12" s="13">
        <v>8</v>
      </c>
      <c r="U12" s="13">
        <v>7</v>
      </c>
      <c r="V12" s="17">
        <v>0.36</v>
      </c>
      <c r="X12" s="24" t="s">
        <v>30</v>
      </c>
      <c r="Y12" s="29">
        <v>50000</v>
      </c>
      <c r="Z12" s="29" t="s">
        <v>15</v>
      </c>
      <c r="AA12" s="29" t="s">
        <v>14</v>
      </c>
      <c r="AB12" s="26">
        <v>100</v>
      </c>
      <c r="AC12" s="27">
        <v>691.3</v>
      </c>
      <c r="AD12" s="25">
        <v>623</v>
      </c>
      <c r="AE12" s="25">
        <v>779</v>
      </c>
      <c r="AF12" s="25">
        <v>683.5</v>
      </c>
      <c r="AG12" s="28">
        <v>41.55</v>
      </c>
      <c r="AK12" s="24" t="s">
        <v>13</v>
      </c>
      <c r="AL12" s="25" t="s">
        <v>22</v>
      </c>
      <c r="AM12" s="25" t="s">
        <v>15</v>
      </c>
      <c r="AN12" s="25" t="s">
        <v>14</v>
      </c>
      <c r="AO12" s="26">
        <v>50000</v>
      </c>
      <c r="AP12" s="27">
        <v>8.98</v>
      </c>
      <c r="AQ12" s="25">
        <v>8</v>
      </c>
      <c r="AR12" s="25">
        <v>10</v>
      </c>
      <c r="AS12" s="25">
        <v>9</v>
      </c>
      <c r="AT12" s="28">
        <v>0.2</v>
      </c>
      <c r="AV12" s="24" t="s">
        <v>17</v>
      </c>
      <c r="AW12" s="25" t="s">
        <v>20</v>
      </c>
      <c r="AX12" s="25" t="s">
        <v>15</v>
      </c>
      <c r="AY12" s="25" t="s">
        <v>14</v>
      </c>
      <c r="AZ12" s="26">
        <v>50000</v>
      </c>
      <c r="BA12" s="27">
        <v>20.64</v>
      </c>
      <c r="BB12" s="25">
        <v>19</v>
      </c>
      <c r="BC12" s="25">
        <v>23</v>
      </c>
      <c r="BD12" s="25">
        <v>21</v>
      </c>
      <c r="BE12" s="28">
        <v>0.7</v>
      </c>
      <c r="BG12" s="24" t="s">
        <v>23</v>
      </c>
      <c r="BH12" s="25" t="s">
        <v>15</v>
      </c>
      <c r="BI12" s="25" t="s">
        <v>14</v>
      </c>
      <c r="BJ12" s="26">
        <v>50000</v>
      </c>
      <c r="BK12" s="27">
        <v>6374.8</v>
      </c>
      <c r="BL12" s="25">
        <v>6289</v>
      </c>
      <c r="BM12" s="25">
        <v>6488</v>
      </c>
      <c r="BN12" s="25">
        <v>6376.5</v>
      </c>
      <c r="BO12" s="28">
        <v>32.840000000000003</v>
      </c>
      <c r="BR12" s="24" t="s">
        <v>24</v>
      </c>
      <c r="BS12" s="25" t="s">
        <v>15</v>
      </c>
      <c r="BT12" s="25" t="s">
        <v>14</v>
      </c>
      <c r="BU12" s="26">
        <v>50000</v>
      </c>
      <c r="BV12" s="27">
        <v>19.03</v>
      </c>
      <c r="BW12" s="25">
        <v>19</v>
      </c>
      <c r="BX12" s="25">
        <v>20</v>
      </c>
      <c r="BY12" s="25">
        <v>19</v>
      </c>
      <c r="BZ12" s="28">
        <v>0.17</v>
      </c>
    </row>
    <row r="13" spans="2:78" x14ac:dyDescent="0.3">
      <c r="B13" s="12" t="s">
        <v>13</v>
      </c>
      <c r="C13" s="13" t="s">
        <v>14</v>
      </c>
      <c r="D13" s="13" t="s">
        <v>15</v>
      </c>
      <c r="E13" s="14" t="s">
        <v>19</v>
      </c>
      <c r="F13" s="15">
        <v>30000</v>
      </c>
      <c r="G13" s="16">
        <v>5.0599999999999996</v>
      </c>
      <c r="H13" s="13">
        <v>5</v>
      </c>
      <c r="I13" s="13">
        <v>6</v>
      </c>
      <c r="J13" s="13">
        <v>5</v>
      </c>
      <c r="K13" s="17">
        <v>0.24</v>
      </c>
      <c r="M13" s="12" t="s">
        <v>17</v>
      </c>
      <c r="N13" s="13" t="s">
        <v>14</v>
      </c>
      <c r="O13" s="13" t="s">
        <v>15</v>
      </c>
      <c r="P13" s="14" t="s">
        <v>20</v>
      </c>
      <c r="Q13" s="15">
        <v>30000</v>
      </c>
      <c r="R13" s="16">
        <v>11.08</v>
      </c>
      <c r="S13" s="13">
        <v>10</v>
      </c>
      <c r="T13" s="13">
        <v>12</v>
      </c>
      <c r="U13" s="13">
        <v>11</v>
      </c>
      <c r="V13" s="17">
        <v>0.34</v>
      </c>
    </row>
    <row r="14" spans="2:78" x14ac:dyDescent="0.3">
      <c r="B14" s="12" t="s">
        <v>13</v>
      </c>
      <c r="C14" s="13" t="s">
        <v>14</v>
      </c>
      <c r="D14" s="13" t="s">
        <v>15</v>
      </c>
      <c r="E14" s="14" t="s">
        <v>19</v>
      </c>
      <c r="F14" s="15">
        <v>40000</v>
      </c>
      <c r="G14" s="16">
        <v>7.17</v>
      </c>
      <c r="H14" s="13">
        <v>7</v>
      </c>
      <c r="I14" s="13">
        <v>8</v>
      </c>
      <c r="J14" s="13">
        <v>7</v>
      </c>
      <c r="K14" s="17">
        <v>0.38</v>
      </c>
      <c r="M14" s="12" t="s">
        <v>17</v>
      </c>
      <c r="N14" s="13" t="s">
        <v>14</v>
      </c>
      <c r="O14" s="13" t="s">
        <v>15</v>
      </c>
      <c r="P14" s="14" t="s">
        <v>20</v>
      </c>
      <c r="Q14" s="15">
        <v>40000</v>
      </c>
      <c r="R14" s="16">
        <v>15.74</v>
      </c>
      <c r="S14" s="13">
        <v>15</v>
      </c>
      <c r="T14" s="13">
        <v>17</v>
      </c>
      <c r="U14" s="13">
        <v>16</v>
      </c>
      <c r="V14" s="17">
        <v>0.57999999999999996</v>
      </c>
    </row>
    <row r="15" spans="2:78" ht="15" thickBot="1" x14ac:dyDescent="0.35">
      <c r="B15" s="12" t="s">
        <v>13</v>
      </c>
      <c r="C15" s="13" t="s">
        <v>14</v>
      </c>
      <c r="D15" s="13" t="s">
        <v>15</v>
      </c>
      <c r="E15" s="14" t="s">
        <v>19</v>
      </c>
      <c r="F15" s="15">
        <v>50000</v>
      </c>
      <c r="G15" s="16">
        <v>9.4600000000000009</v>
      </c>
      <c r="H15" s="13">
        <v>9</v>
      </c>
      <c r="I15" s="13">
        <v>10</v>
      </c>
      <c r="J15" s="13">
        <v>9</v>
      </c>
      <c r="K15" s="17">
        <v>0.5</v>
      </c>
      <c r="M15" s="18" t="s">
        <v>17</v>
      </c>
      <c r="N15" s="19" t="s">
        <v>14</v>
      </c>
      <c r="O15" s="19" t="s">
        <v>15</v>
      </c>
      <c r="P15" s="20" t="s">
        <v>20</v>
      </c>
      <c r="Q15" s="21">
        <v>50000</v>
      </c>
      <c r="R15" s="22">
        <v>20.64</v>
      </c>
      <c r="S15" s="19">
        <v>19</v>
      </c>
      <c r="T15" s="19">
        <v>23</v>
      </c>
      <c r="U15" s="19">
        <v>21</v>
      </c>
      <c r="V15" s="23">
        <v>0.7</v>
      </c>
    </row>
    <row r="16" spans="2:78" x14ac:dyDescent="0.3">
      <c r="B16" s="5" t="s">
        <v>13</v>
      </c>
      <c r="C16" s="10" t="s">
        <v>14</v>
      </c>
      <c r="D16" s="10" t="s">
        <v>15</v>
      </c>
      <c r="E16" s="7" t="s">
        <v>21</v>
      </c>
      <c r="F16" s="8">
        <v>10000</v>
      </c>
      <c r="G16" s="9">
        <v>1.08</v>
      </c>
      <c r="H16" s="10">
        <v>1</v>
      </c>
      <c r="I16" s="10">
        <v>2</v>
      </c>
      <c r="J16" s="10">
        <v>1</v>
      </c>
      <c r="K16" s="11">
        <v>0.27</v>
      </c>
    </row>
    <row r="17" spans="2:71" x14ac:dyDescent="0.3">
      <c r="B17" s="5" t="s">
        <v>13</v>
      </c>
      <c r="C17" s="10" t="s">
        <v>14</v>
      </c>
      <c r="D17" s="10" t="s">
        <v>15</v>
      </c>
      <c r="E17" s="7" t="s">
        <v>21</v>
      </c>
      <c r="F17" s="8">
        <v>20000</v>
      </c>
      <c r="G17" s="9">
        <v>3.88</v>
      </c>
      <c r="H17" s="10">
        <v>3</v>
      </c>
      <c r="I17" s="10">
        <v>4</v>
      </c>
      <c r="J17" s="10">
        <v>4</v>
      </c>
      <c r="K17" s="11">
        <v>0.33</v>
      </c>
    </row>
    <row r="18" spans="2:71" x14ac:dyDescent="0.3">
      <c r="B18" s="5" t="s">
        <v>13</v>
      </c>
      <c r="C18" s="10" t="s">
        <v>14</v>
      </c>
      <c r="D18" s="10" t="s">
        <v>15</v>
      </c>
      <c r="E18" s="7" t="s">
        <v>21</v>
      </c>
      <c r="F18" s="8">
        <v>30000</v>
      </c>
      <c r="G18" s="9">
        <v>6.03</v>
      </c>
      <c r="H18" s="10">
        <v>6</v>
      </c>
      <c r="I18" s="10">
        <v>7</v>
      </c>
      <c r="J18" s="10">
        <v>6</v>
      </c>
      <c r="K18" s="11">
        <v>0.17</v>
      </c>
    </row>
    <row r="19" spans="2:71" x14ac:dyDescent="0.3">
      <c r="B19" s="5" t="s">
        <v>13</v>
      </c>
      <c r="C19" s="10" t="s">
        <v>14</v>
      </c>
      <c r="D19" s="10" t="s">
        <v>15</v>
      </c>
      <c r="E19" s="7" t="s">
        <v>21</v>
      </c>
      <c r="F19" s="8">
        <v>40000</v>
      </c>
      <c r="G19" s="9">
        <v>8.06</v>
      </c>
      <c r="H19" s="10">
        <v>8</v>
      </c>
      <c r="I19" s="10">
        <v>9</v>
      </c>
      <c r="J19" s="10">
        <v>8</v>
      </c>
      <c r="K19" s="11">
        <v>0.24</v>
      </c>
    </row>
    <row r="20" spans="2:71" x14ac:dyDescent="0.3">
      <c r="B20" s="5" t="s">
        <v>13</v>
      </c>
      <c r="C20" s="10" t="s">
        <v>14</v>
      </c>
      <c r="D20" s="10" t="s">
        <v>15</v>
      </c>
      <c r="E20" s="7" t="s">
        <v>21</v>
      </c>
      <c r="F20" s="8">
        <v>50000</v>
      </c>
      <c r="G20" s="9">
        <v>10.44</v>
      </c>
      <c r="H20" s="10">
        <v>10</v>
      </c>
      <c r="I20" s="10">
        <v>12</v>
      </c>
      <c r="J20" s="10">
        <v>10</v>
      </c>
      <c r="K20" s="11">
        <v>0.52</v>
      </c>
    </row>
    <row r="21" spans="2:71" x14ac:dyDescent="0.3">
      <c r="B21" s="12" t="s">
        <v>13</v>
      </c>
      <c r="C21" s="13" t="s">
        <v>14</v>
      </c>
      <c r="D21" s="13" t="s">
        <v>15</v>
      </c>
      <c r="E21" s="14" t="s">
        <v>22</v>
      </c>
      <c r="F21" s="15">
        <v>10000</v>
      </c>
      <c r="G21" s="16">
        <v>1</v>
      </c>
      <c r="H21" s="13">
        <v>1</v>
      </c>
      <c r="I21" s="13">
        <v>1</v>
      </c>
      <c r="J21" s="13">
        <v>1</v>
      </c>
      <c r="K21" s="17">
        <v>0</v>
      </c>
    </row>
    <row r="22" spans="2:71" x14ac:dyDescent="0.3">
      <c r="B22" s="12" t="s">
        <v>13</v>
      </c>
      <c r="C22" s="13" t="s">
        <v>14</v>
      </c>
      <c r="D22" s="13" t="s">
        <v>15</v>
      </c>
      <c r="E22" s="14" t="s">
        <v>22</v>
      </c>
      <c r="F22" s="15">
        <v>20000</v>
      </c>
      <c r="G22" s="16">
        <v>3</v>
      </c>
      <c r="H22" s="13">
        <v>3</v>
      </c>
      <c r="I22" s="13">
        <v>3</v>
      </c>
      <c r="J22" s="13">
        <v>3</v>
      </c>
      <c r="K22" s="17">
        <v>0</v>
      </c>
    </row>
    <row r="23" spans="2:71" x14ac:dyDescent="0.3">
      <c r="B23" s="12" t="s">
        <v>13</v>
      </c>
      <c r="C23" s="13" t="s">
        <v>14</v>
      </c>
      <c r="D23" s="13" t="s">
        <v>15</v>
      </c>
      <c r="E23" s="14" t="s">
        <v>22</v>
      </c>
      <c r="F23" s="15">
        <v>30000</v>
      </c>
      <c r="G23" s="16">
        <v>5</v>
      </c>
      <c r="H23" s="13">
        <v>5</v>
      </c>
      <c r="I23" s="13">
        <v>5</v>
      </c>
      <c r="J23" s="13">
        <v>5</v>
      </c>
      <c r="K23" s="17">
        <v>0</v>
      </c>
    </row>
    <row r="24" spans="2:71" x14ac:dyDescent="0.3">
      <c r="B24" s="12" t="s">
        <v>13</v>
      </c>
      <c r="C24" s="13" t="s">
        <v>14</v>
      </c>
      <c r="D24" s="13" t="s">
        <v>15</v>
      </c>
      <c r="E24" s="14" t="s">
        <v>22</v>
      </c>
      <c r="F24" s="15">
        <v>40000</v>
      </c>
      <c r="G24" s="16">
        <v>7</v>
      </c>
      <c r="H24" s="13">
        <v>7</v>
      </c>
      <c r="I24" s="13">
        <v>7</v>
      </c>
      <c r="J24" s="13">
        <v>7</v>
      </c>
      <c r="K24" s="17">
        <v>0</v>
      </c>
    </row>
    <row r="25" spans="2:71" ht="15" thickBot="1" x14ac:dyDescent="0.35">
      <c r="B25" s="18" t="s">
        <v>13</v>
      </c>
      <c r="C25" s="19" t="s">
        <v>14</v>
      </c>
      <c r="D25" s="19" t="s">
        <v>15</v>
      </c>
      <c r="E25" s="20" t="s">
        <v>22</v>
      </c>
      <c r="F25" s="21">
        <v>50000</v>
      </c>
      <c r="G25" s="22">
        <v>8.98</v>
      </c>
      <c r="H25" s="19">
        <v>8</v>
      </c>
      <c r="I25" s="19">
        <v>10</v>
      </c>
      <c r="J25" s="19">
        <v>9</v>
      </c>
      <c r="K25" s="23">
        <v>0.2</v>
      </c>
    </row>
    <row r="29" spans="2:71" x14ac:dyDescent="0.3">
      <c r="X29" s="39" t="s">
        <v>35</v>
      </c>
      <c r="Y29" t="s">
        <v>34</v>
      </c>
    </row>
    <row r="30" spans="2:71" x14ac:dyDescent="0.3">
      <c r="N30" s="39" t="s">
        <v>34</v>
      </c>
      <c r="O30" s="39" t="s">
        <v>37</v>
      </c>
      <c r="X30" s="41">
        <v>10</v>
      </c>
      <c r="Y30" s="40">
        <v>183.7</v>
      </c>
    </row>
    <row r="31" spans="2:71" x14ac:dyDescent="0.3">
      <c r="B31" s="39" t="s">
        <v>34</v>
      </c>
      <c r="C31" s="39" t="s">
        <v>37</v>
      </c>
      <c r="N31" s="39" t="s">
        <v>35</v>
      </c>
      <c r="O31" t="s">
        <v>20</v>
      </c>
      <c r="P31" t="s">
        <v>18</v>
      </c>
      <c r="Q31" t="s">
        <v>36</v>
      </c>
      <c r="X31" s="41">
        <v>25</v>
      </c>
      <c r="Y31" s="40">
        <v>243.97</v>
      </c>
      <c r="AK31" s="39" t="s">
        <v>35</v>
      </c>
      <c r="AL31" t="s">
        <v>34</v>
      </c>
      <c r="AV31" s="39" t="s">
        <v>35</v>
      </c>
      <c r="AW31" t="s">
        <v>34</v>
      </c>
      <c r="BG31" s="39" t="s">
        <v>35</v>
      </c>
      <c r="BH31" t="s">
        <v>34</v>
      </c>
      <c r="BR31" s="39" t="s">
        <v>35</v>
      </c>
      <c r="BS31" t="s">
        <v>34</v>
      </c>
    </row>
    <row r="32" spans="2:71" x14ac:dyDescent="0.3">
      <c r="B32" s="39" t="s">
        <v>35</v>
      </c>
      <c r="C32" t="s">
        <v>16</v>
      </c>
      <c r="D32" t="s">
        <v>21</v>
      </c>
      <c r="E32" t="s">
        <v>22</v>
      </c>
      <c r="F32" t="s">
        <v>19</v>
      </c>
      <c r="G32" t="s">
        <v>36</v>
      </c>
      <c r="N32" s="41">
        <v>10000</v>
      </c>
      <c r="O32" s="40">
        <v>3.04</v>
      </c>
      <c r="P32" s="40">
        <v>3</v>
      </c>
      <c r="Q32" s="40">
        <v>6.04</v>
      </c>
      <c r="X32" s="41">
        <v>50</v>
      </c>
      <c r="Y32" s="40">
        <v>398.43</v>
      </c>
      <c r="AK32" s="41">
        <v>20000</v>
      </c>
      <c r="AL32" s="40">
        <v>3</v>
      </c>
      <c r="AV32" s="41">
        <v>10000</v>
      </c>
      <c r="AW32" s="40">
        <v>3.04</v>
      </c>
      <c r="BG32" s="41">
        <v>10000</v>
      </c>
      <c r="BH32" s="40">
        <v>259.2</v>
      </c>
      <c r="BR32" s="41">
        <v>10000</v>
      </c>
      <c r="BS32" s="40">
        <v>3</v>
      </c>
    </row>
    <row r="33" spans="2:71" x14ac:dyDescent="0.3">
      <c r="B33" s="41">
        <v>10000</v>
      </c>
      <c r="C33" s="40">
        <v>1.03</v>
      </c>
      <c r="D33" s="40">
        <v>1.08</v>
      </c>
      <c r="E33" s="40">
        <v>1</v>
      </c>
      <c r="F33" s="40">
        <v>1</v>
      </c>
      <c r="G33" s="40">
        <v>4.1100000000000003</v>
      </c>
      <c r="N33" s="41">
        <v>20000</v>
      </c>
      <c r="O33" s="40">
        <v>6.88</v>
      </c>
      <c r="P33" s="40">
        <v>7.42</v>
      </c>
      <c r="Q33" s="40">
        <v>14.3</v>
      </c>
      <c r="X33" s="41">
        <v>75</v>
      </c>
      <c r="Y33" s="40">
        <v>540.34</v>
      </c>
      <c r="AK33" s="41">
        <v>30000</v>
      </c>
      <c r="AL33" s="40">
        <v>5</v>
      </c>
      <c r="AV33" s="41">
        <v>20000</v>
      </c>
      <c r="AW33" s="40">
        <v>6.88</v>
      </c>
      <c r="BG33" s="41">
        <v>20000</v>
      </c>
      <c r="BH33" s="40">
        <v>1040.78</v>
      </c>
      <c r="BR33" s="41">
        <v>20000</v>
      </c>
      <c r="BS33" s="40">
        <v>7.06</v>
      </c>
    </row>
    <row r="34" spans="2:71" x14ac:dyDescent="0.3">
      <c r="B34" s="41">
        <v>20000</v>
      </c>
      <c r="C34" s="40">
        <v>3</v>
      </c>
      <c r="D34" s="40">
        <v>3.88</v>
      </c>
      <c r="E34" s="40">
        <v>3</v>
      </c>
      <c r="F34" s="40">
        <v>3.07</v>
      </c>
      <c r="G34" s="40">
        <v>12.95</v>
      </c>
      <c r="N34" s="41">
        <v>30000</v>
      </c>
      <c r="O34" s="40">
        <v>11.08</v>
      </c>
      <c r="P34" s="40">
        <v>11.9</v>
      </c>
      <c r="Q34" s="40">
        <v>22.98</v>
      </c>
      <c r="X34" s="41">
        <v>100</v>
      </c>
      <c r="Y34" s="40">
        <v>691.3</v>
      </c>
      <c r="AK34" s="41">
        <v>40000</v>
      </c>
      <c r="AL34" s="40">
        <v>7</v>
      </c>
      <c r="AV34" s="41">
        <v>30000</v>
      </c>
      <c r="AW34" s="40">
        <v>11.08</v>
      </c>
      <c r="BG34" s="41">
        <v>30000</v>
      </c>
      <c r="BH34" s="40">
        <v>2315.52</v>
      </c>
      <c r="BR34" s="41">
        <v>30000</v>
      </c>
      <c r="BS34" s="40">
        <v>11.02</v>
      </c>
    </row>
    <row r="35" spans="2:71" x14ac:dyDescent="0.3">
      <c r="B35" s="41">
        <v>30000</v>
      </c>
      <c r="C35" s="40">
        <v>5.05</v>
      </c>
      <c r="D35" s="40">
        <v>6.03</v>
      </c>
      <c r="E35" s="40">
        <v>5</v>
      </c>
      <c r="F35" s="40">
        <v>5.0599999999999996</v>
      </c>
      <c r="G35" s="40">
        <v>21.139999999999997</v>
      </c>
      <c r="N35" s="41">
        <v>40000</v>
      </c>
      <c r="O35" s="40">
        <v>15.74</v>
      </c>
      <c r="P35" s="40">
        <v>17.829999999999998</v>
      </c>
      <c r="Q35" s="40">
        <v>33.57</v>
      </c>
      <c r="X35" s="41" t="s">
        <v>36</v>
      </c>
      <c r="Y35" s="40">
        <v>2057.7399999999998</v>
      </c>
      <c r="AK35" s="41">
        <v>50000</v>
      </c>
      <c r="AL35" s="40">
        <v>8.98</v>
      </c>
      <c r="AV35" s="41">
        <v>40000</v>
      </c>
      <c r="AW35" s="40">
        <v>15.74</v>
      </c>
      <c r="BG35" s="41">
        <v>40000</v>
      </c>
      <c r="BH35" s="40">
        <v>4255.5</v>
      </c>
      <c r="BR35" s="41">
        <v>40000</v>
      </c>
      <c r="BS35" s="40">
        <v>15</v>
      </c>
    </row>
    <row r="36" spans="2:71" x14ac:dyDescent="0.3">
      <c r="B36" s="41">
        <v>40000</v>
      </c>
      <c r="C36" s="40">
        <v>7.08</v>
      </c>
      <c r="D36" s="40">
        <v>8.06</v>
      </c>
      <c r="E36" s="40">
        <v>7</v>
      </c>
      <c r="F36" s="40">
        <v>7.17</v>
      </c>
      <c r="G36" s="40">
        <v>29.310000000000002</v>
      </c>
      <c r="N36" s="41">
        <v>50000</v>
      </c>
      <c r="O36" s="40">
        <v>20.64</v>
      </c>
      <c r="P36" s="40">
        <v>23.06</v>
      </c>
      <c r="Q36" s="40">
        <v>43.7</v>
      </c>
      <c r="AK36" s="41">
        <v>100000</v>
      </c>
      <c r="AL36" s="40">
        <v>12</v>
      </c>
      <c r="AV36" s="41">
        <v>50000</v>
      </c>
      <c r="AW36" s="40">
        <v>20.64</v>
      </c>
      <c r="BG36" s="41">
        <v>50000</v>
      </c>
      <c r="BH36" s="40">
        <v>6374.8</v>
      </c>
      <c r="BR36" s="41">
        <v>50000</v>
      </c>
      <c r="BS36" s="40">
        <v>19.03</v>
      </c>
    </row>
    <row r="37" spans="2:71" x14ac:dyDescent="0.3">
      <c r="B37" s="41">
        <v>50000</v>
      </c>
      <c r="C37" s="40">
        <v>9.16</v>
      </c>
      <c r="D37" s="40">
        <v>10.44</v>
      </c>
      <c r="E37" s="40">
        <v>8.98</v>
      </c>
      <c r="F37" s="40">
        <v>9.4600000000000009</v>
      </c>
      <c r="G37" s="40">
        <v>38.040000000000006</v>
      </c>
      <c r="N37" s="41" t="s">
        <v>36</v>
      </c>
      <c r="O37" s="40">
        <v>57.38</v>
      </c>
      <c r="P37" s="40">
        <v>63.209999999999994</v>
      </c>
      <c r="Q37" s="40">
        <v>120.59</v>
      </c>
      <c r="AK37" s="41" t="s">
        <v>36</v>
      </c>
      <c r="AL37" s="40">
        <v>35.980000000000004</v>
      </c>
      <c r="AV37" s="41" t="s">
        <v>36</v>
      </c>
      <c r="AW37" s="40">
        <v>57.38</v>
      </c>
      <c r="BG37" s="41" t="s">
        <v>36</v>
      </c>
      <c r="BH37" s="40">
        <v>14245.8</v>
      </c>
      <c r="BR37" s="41" t="s">
        <v>36</v>
      </c>
      <c r="BS37" s="40">
        <v>55.11</v>
      </c>
    </row>
    <row r="38" spans="2:71" x14ac:dyDescent="0.3">
      <c r="B38" s="41" t="s">
        <v>36</v>
      </c>
      <c r="C38" s="40">
        <v>25.32</v>
      </c>
      <c r="D38" s="40">
        <v>29.490000000000002</v>
      </c>
      <c r="E38" s="40">
        <v>24.98</v>
      </c>
      <c r="F38" s="40">
        <v>25.759999999999998</v>
      </c>
      <c r="G38" s="40">
        <v>105.55</v>
      </c>
    </row>
  </sheetData>
  <mergeCells count="14">
    <mergeCell ref="B4:F4"/>
    <mergeCell ref="G4:K4"/>
    <mergeCell ref="M4:Q4"/>
    <mergeCell ref="R4:V4"/>
    <mergeCell ref="AK6:AO6"/>
    <mergeCell ref="BG6:BJ6"/>
    <mergeCell ref="BK6:BO6"/>
    <mergeCell ref="BR6:BU6"/>
    <mergeCell ref="BV6:BZ6"/>
    <mergeCell ref="X6:AB6"/>
    <mergeCell ref="AC6:AG6"/>
    <mergeCell ref="AP6:AT6"/>
    <mergeCell ref="AV6:AZ6"/>
    <mergeCell ref="BA6:BE6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79-A6EA-48A2-9F38-ECE95EAF020A}">
  <dimension ref="B3:L42"/>
  <sheetViews>
    <sheetView tabSelected="1" zoomScale="50" zoomScaleNormal="53" workbookViewId="0">
      <selection activeCell="E52" sqref="E52"/>
    </sheetView>
  </sheetViews>
  <sheetFormatPr defaultRowHeight="14.4" x14ac:dyDescent="0.3"/>
  <cols>
    <col min="2" max="2" width="13.77734375" bestFit="1" customWidth="1"/>
    <col min="3" max="3" width="17.44140625" bestFit="1" customWidth="1"/>
    <col min="4" max="4" width="15.77734375" bestFit="1" customWidth="1"/>
    <col min="5" max="7" width="18.6640625" bestFit="1" customWidth="1"/>
    <col min="8" max="8" width="14.5546875" bestFit="1" customWidth="1"/>
    <col min="9" max="9" width="12.33203125" bestFit="1" customWidth="1"/>
    <col min="10" max="12" width="14" bestFit="1" customWidth="1"/>
  </cols>
  <sheetData>
    <row r="3" spans="2:12" ht="15" thickBot="1" x14ac:dyDescent="0.35"/>
    <row r="4" spans="2:12" ht="15" thickBot="1" x14ac:dyDescent="0.35">
      <c r="B4" s="59" t="s">
        <v>0</v>
      </c>
      <c r="C4" s="60"/>
      <c r="D4" s="60"/>
      <c r="E4" s="61"/>
      <c r="F4" s="59" t="s">
        <v>1</v>
      </c>
      <c r="G4" s="60"/>
      <c r="H4" s="60"/>
      <c r="I4" s="60"/>
      <c r="J4" s="61"/>
      <c r="K4" s="30"/>
      <c r="L4" s="30"/>
    </row>
    <row r="5" spans="2:12" ht="15" thickBot="1" x14ac:dyDescent="0.35">
      <c r="B5" s="31" t="s">
        <v>2</v>
      </c>
      <c r="C5" s="32" t="s">
        <v>6</v>
      </c>
      <c r="D5" s="32" t="s">
        <v>4</v>
      </c>
      <c r="E5" s="32" t="s">
        <v>3</v>
      </c>
      <c r="F5" s="31" t="s">
        <v>7</v>
      </c>
      <c r="G5" s="32" t="s">
        <v>8</v>
      </c>
      <c r="H5" s="32" t="s">
        <v>9</v>
      </c>
      <c r="I5" s="32" t="s">
        <v>10</v>
      </c>
      <c r="J5" s="33" t="s">
        <v>11</v>
      </c>
    </row>
    <row r="6" spans="2:12" x14ac:dyDescent="0.3">
      <c r="B6" s="36" t="s">
        <v>23</v>
      </c>
      <c r="C6" s="37">
        <v>50000</v>
      </c>
      <c r="D6" s="37" t="s">
        <v>15</v>
      </c>
      <c r="E6" s="38" t="s">
        <v>14</v>
      </c>
      <c r="F6" s="9">
        <v>6381.3</v>
      </c>
      <c r="G6" s="10">
        <v>6298</v>
      </c>
      <c r="H6" s="10">
        <v>6587</v>
      </c>
      <c r="I6" s="10">
        <v>6379</v>
      </c>
      <c r="J6" s="11">
        <v>41.13</v>
      </c>
    </row>
    <row r="7" spans="2:12" x14ac:dyDescent="0.3">
      <c r="B7" s="5" t="s">
        <v>23</v>
      </c>
      <c r="C7" s="6">
        <v>50000</v>
      </c>
      <c r="D7" s="6" t="s">
        <v>15</v>
      </c>
      <c r="E7" s="8" t="s">
        <v>26</v>
      </c>
      <c r="F7" s="9">
        <v>0</v>
      </c>
      <c r="G7" s="10">
        <v>0</v>
      </c>
      <c r="H7" s="10">
        <v>0</v>
      </c>
      <c r="I7" s="10">
        <v>0</v>
      </c>
      <c r="J7" s="11">
        <v>0</v>
      </c>
    </row>
    <row r="8" spans="2:12" x14ac:dyDescent="0.3">
      <c r="B8" s="5" t="s">
        <v>23</v>
      </c>
      <c r="C8" s="6">
        <v>50000</v>
      </c>
      <c r="D8" s="6" t="s">
        <v>15</v>
      </c>
      <c r="E8" s="8" t="s">
        <v>27</v>
      </c>
      <c r="F8" s="9">
        <v>12767.44</v>
      </c>
      <c r="G8" s="10">
        <v>12635</v>
      </c>
      <c r="H8" s="10">
        <v>13187</v>
      </c>
      <c r="I8" s="10">
        <v>12768</v>
      </c>
      <c r="J8" s="11">
        <v>76.64</v>
      </c>
    </row>
    <row r="9" spans="2:12" x14ac:dyDescent="0.3">
      <c r="B9" s="5" t="s">
        <v>23</v>
      </c>
      <c r="C9" s="6">
        <v>50000</v>
      </c>
      <c r="D9" s="6" t="s">
        <v>15</v>
      </c>
      <c r="E9" s="8" t="s">
        <v>28</v>
      </c>
      <c r="F9" s="9">
        <v>2755.11</v>
      </c>
      <c r="G9" s="10">
        <v>2715</v>
      </c>
      <c r="H9" s="10">
        <v>2847</v>
      </c>
      <c r="I9" s="10">
        <v>2755</v>
      </c>
      <c r="J9" s="11">
        <v>19.59</v>
      </c>
    </row>
    <row r="10" spans="2:12" ht="15" thickBot="1" x14ac:dyDescent="0.35">
      <c r="B10" s="24" t="s">
        <v>23</v>
      </c>
      <c r="C10" s="29">
        <v>50000</v>
      </c>
      <c r="D10" s="29" t="s">
        <v>15</v>
      </c>
      <c r="E10" s="26" t="s">
        <v>29</v>
      </c>
      <c r="F10" s="27">
        <v>710.41</v>
      </c>
      <c r="G10" s="25">
        <v>698</v>
      </c>
      <c r="H10" s="25">
        <v>721</v>
      </c>
      <c r="I10" s="25">
        <v>711</v>
      </c>
      <c r="J10" s="28">
        <v>5.24</v>
      </c>
    </row>
    <row r="11" spans="2:12" ht="15" thickBot="1" x14ac:dyDescent="0.35">
      <c r="G11" s="4"/>
    </row>
    <row r="12" spans="2:12" ht="15" thickBot="1" x14ac:dyDescent="0.35">
      <c r="B12" s="59" t="s">
        <v>0</v>
      </c>
      <c r="C12" s="60"/>
      <c r="D12" s="60"/>
      <c r="E12" s="61"/>
      <c r="F12" s="59" t="s">
        <v>1</v>
      </c>
      <c r="G12" s="60"/>
      <c r="H12" s="60"/>
      <c r="I12" s="60"/>
      <c r="J12" s="61"/>
      <c r="K12" s="30"/>
      <c r="L12" s="30"/>
    </row>
    <row r="13" spans="2:12" ht="15" thickBot="1" x14ac:dyDescent="0.35">
      <c r="B13" s="31" t="s">
        <v>2</v>
      </c>
      <c r="C13" s="32" t="s">
        <v>6</v>
      </c>
      <c r="D13" s="32" t="s">
        <v>4</v>
      </c>
      <c r="E13" s="32" t="s">
        <v>3</v>
      </c>
      <c r="F13" s="31" t="s">
        <v>7</v>
      </c>
      <c r="G13" s="32" t="s">
        <v>8</v>
      </c>
      <c r="H13" s="32" t="s">
        <v>9</v>
      </c>
      <c r="I13" s="32" t="s">
        <v>10</v>
      </c>
      <c r="J13" s="33" t="s">
        <v>11</v>
      </c>
    </row>
    <row r="14" spans="2:12" x14ac:dyDescent="0.3">
      <c r="B14" s="5" t="s">
        <v>24</v>
      </c>
      <c r="C14" s="6">
        <v>50000</v>
      </c>
      <c r="D14" s="6" t="s">
        <v>15</v>
      </c>
      <c r="E14" s="34" t="s">
        <v>14</v>
      </c>
      <c r="F14" s="9">
        <v>19.03</v>
      </c>
      <c r="G14" s="10">
        <v>19</v>
      </c>
      <c r="H14" s="10">
        <v>20</v>
      </c>
      <c r="I14" s="10">
        <v>19</v>
      </c>
      <c r="J14" s="11">
        <v>0.17</v>
      </c>
    </row>
    <row r="15" spans="2:12" x14ac:dyDescent="0.3">
      <c r="B15" s="5" t="s">
        <v>24</v>
      </c>
      <c r="C15" s="6">
        <v>50000</v>
      </c>
      <c r="D15" s="6" t="s">
        <v>15</v>
      </c>
      <c r="E15" s="34" t="s">
        <v>26</v>
      </c>
      <c r="F15" s="9">
        <v>17.059999999999999</v>
      </c>
      <c r="G15" s="10">
        <v>17</v>
      </c>
      <c r="H15" s="10">
        <v>18</v>
      </c>
      <c r="I15" s="10">
        <v>17</v>
      </c>
      <c r="J15" s="11">
        <v>0.24</v>
      </c>
    </row>
    <row r="16" spans="2:12" x14ac:dyDescent="0.3">
      <c r="B16" s="5" t="s">
        <v>24</v>
      </c>
      <c r="C16" s="6">
        <v>50000</v>
      </c>
      <c r="D16" s="6" t="s">
        <v>15</v>
      </c>
      <c r="E16" s="34" t="s">
        <v>27</v>
      </c>
      <c r="F16" s="9">
        <v>16.09</v>
      </c>
      <c r="G16" s="10">
        <v>16</v>
      </c>
      <c r="H16" s="10">
        <v>17</v>
      </c>
      <c r="I16" s="10">
        <v>16</v>
      </c>
      <c r="J16" s="11">
        <v>0.28999999999999998</v>
      </c>
    </row>
    <row r="17" spans="2:12" x14ac:dyDescent="0.3">
      <c r="B17" s="5" t="s">
        <v>24</v>
      </c>
      <c r="C17" s="6">
        <v>50000</v>
      </c>
      <c r="D17" s="6" t="s">
        <v>15</v>
      </c>
      <c r="E17" s="34" t="s">
        <v>28</v>
      </c>
      <c r="F17" s="9">
        <v>19</v>
      </c>
      <c r="G17" s="10">
        <v>19</v>
      </c>
      <c r="H17" s="10">
        <v>19</v>
      </c>
      <c r="I17" s="10">
        <v>19</v>
      </c>
      <c r="J17" s="11">
        <v>0</v>
      </c>
    </row>
    <row r="18" spans="2:12" ht="15" thickBot="1" x14ac:dyDescent="0.35">
      <c r="B18" s="24" t="s">
        <v>24</v>
      </c>
      <c r="C18" s="29">
        <v>50000</v>
      </c>
      <c r="D18" s="29" t="s">
        <v>15</v>
      </c>
      <c r="E18" s="35" t="s">
        <v>29</v>
      </c>
      <c r="F18" s="27">
        <v>18.02</v>
      </c>
      <c r="G18" s="25">
        <v>18</v>
      </c>
      <c r="H18" s="25">
        <v>19</v>
      </c>
      <c r="I18" s="25">
        <v>18</v>
      </c>
      <c r="J18" s="28">
        <v>0.14000000000000001</v>
      </c>
    </row>
    <row r="19" spans="2:12" ht="15" thickBot="1" x14ac:dyDescent="0.35">
      <c r="G19" s="4"/>
    </row>
    <row r="20" spans="2:12" ht="15" thickBot="1" x14ac:dyDescent="0.35">
      <c r="B20" s="59" t="s">
        <v>0</v>
      </c>
      <c r="C20" s="60"/>
      <c r="D20" s="60"/>
      <c r="E20" s="60"/>
      <c r="F20" s="61"/>
      <c r="G20" s="59" t="s">
        <v>1</v>
      </c>
      <c r="H20" s="60"/>
      <c r="I20" s="60"/>
      <c r="J20" s="60"/>
      <c r="K20" s="61"/>
      <c r="L20" s="30"/>
    </row>
    <row r="21" spans="2:12" ht="15" thickBot="1" x14ac:dyDescent="0.35">
      <c r="B21" s="31" t="s">
        <v>2</v>
      </c>
      <c r="C21" s="32" t="s">
        <v>5</v>
      </c>
      <c r="D21" s="32" t="s">
        <v>6</v>
      </c>
      <c r="E21" s="32" t="s">
        <v>4</v>
      </c>
      <c r="F21" s="32" t="s">
        <v>3</v>
      </c>
      <c r="G21" s="31" t="s">
        <v>7</v>
      </c>
      <c r="H21" s="32" t="s">
        <v>8</v>
      </c>
      <c r="I21" s="32" t="s">
        <v>9</v>
      </c>
      <c r="J21" s="32" t="s">
        <v>10</v>
      </c>
      <c r="K21" s="33" t="s">
        <v>11</v>
      </c>
    </row>
    <row r="22" spans="2:12" x14ac:dyDescent="0.3">
      <c r="B22" s="5" t="s">
        <v>13</v>
      </c>
      <c r="C22" s="10" t="s">
        <v>22</v>
      </c>
      <c r="D22" s="6">
        <v>50000</v>
      </c>
      <c r="E22" s="6" t="s">
        <v>15</v>
      </c>
      <c r="F22" s="34" t="s">
        <v>14</v>
      </c>
      <c r="G22" s="9">
        <v>9.0500000000000007</v>
      </c>
      <c r="H22" s="10">
        <v>8</v>
      </c>
      <c r="I22" s="10">
        <v>17</v>
      </c>
      <c r="J22" s="10">
        <v>9</v>
      </c>
      <c r="K22" s="11">
        <v>0.82</v>
      </c>
    </row>
    <row r="23" spans="2:12" x14ac:dyDescent="0.3">
      <c r="B23" s="5" t="s">
        <v>13</v>
      </c>
      <c r="C23" s="10" t="s">
        <v>22</v>
      </c>
      <c r="D23" s="6">
        <v>50000</v>
      </c>
      <c r="E23" s="6" t="s">
        <v>15</v>
      </c>
      <c r="F23" s="34" t="s">
        <v>26</v>
      </c>
      <c r="G23" s="9">
        <v>5.04</v>
      </c>
      <c r="H23" s="10">
        <v>5</v>
      </c>
      <c r="I23" s="10">
        <v>6</v>
      </c>
      <c r="J23" s="10">
        <v>5</v>
      </c>
      <c r="K23" s="11">
        <v>0.2</v>
      </c>
    </row>
    <row r="24" spans="2:12" x14ac:dyDescent="0.3">
      <c r="B24" s="5" t="s">
        <v>13</v>
      </c>
      <c r="C24" s="10" t="s">
        <v>22</v>
      </c>
      <c r="D24" s="6">
        <v>50000</v>
      </c>
      <c r="E24" s="6" t="s">
        <v>15</v>
      </c>
      <c r="F24" s="34" t="s">
        <v>27</v>
      </c>
      <c r="G24" s="9">
        <v>11.01</v>
      </c>
      <c r="H24" s="10">
        <v>11</v>
      </c>
      <c r="I24" s="10">
        <v>12</v>
      </c>
      <c r="J24" s="10">
        <v>11</v>
      </c>
      <c r="K24" s="11">
        <v>0.1</v>
      </c>
    </row>
    <row r="25" spans="2:12" x14ac:dyDescent="0.3">
      <c r="B25" s="5" t="s">
        <v>13</v>
      </c>
      <c r="C25" s="10" t="s">
        <v>22</v>
      </c>
      <c r="D25" s="6">
        <v>50000</v>
      </c>
      <c r="E25" s="6" t="s">
        <v>15</v>
      </c>
      <c r="F25" s="34" t="s">
        <v>28</v>
      </c>
      <c r="G25" s="9">
        <v>7.26</v>
      </c>
      <c r="H25" s="10">
        <v>7</v>
      </c>
      <c r="I25" s="10">
        <v>8</v>
      </c>
      <c r="J25" s="10">
        <v>7</v>
      </c>
      <c r="K25" s="11">
        <v>0.44</v>
      </c>
    </row>
    <row r="26" spans="2:12" ht="15" thickBot="1" x14ac:dyDescent="0.35">
      <c r="B26" s="24" t="s">
        <v>13</v>
      </c>
      <c r="C26" s="25" t="s">
        <v>22</v>
      </c>
      <c r="D26" s="29">
        <v>50000</v>
      </c>
      <c r="E26" s="29" t="s">
        <v>15</v>
      </c>
      <c r="F26" s="35" t="s">
        <v>29</v>
      </c>
      <c r="G26" s="27">
        <v>6.08</v>
      </c>
      <c r="H26" s="25">
        <v>6</v>
      </c>
      <c r="I26" s="25">
        <v>7</v>
      </c>
      <c r="J26" s="25">
        <v>6</v>
      </c>
      <c r="K26" s="28">
        <v>0.27</v>
      </c>
    </row>
    <row r="27" spans="2:12" ht="15" thickBot="1" x14ac:dyDescent="0.35">
      <c r="G27" s="4"/>
    </row>
    <row r="28" spans="2:12" ht="15" thickBot="1" x14ac:dyDescent="0.35">
      <c r="B28" s="59" t="s">
        <v>0</v>
      </c>
      <c r="C28" s="60"/>
      <c r="D28" s="60"/>
      <c r="E28" s="60"/>
      <c r="F28" s="61"/>
      <c r="G28" s="59" t="s">
        <v>1</v>
      </c>
      <c r="H28" s="60"/>
      <c r="I28" s="60"/>
      <c r="J28" s="60"/>
      <c r="K28" s="61"/>
      <c r="L28" s="30"/>
    </row>
    <row r="29" spans="2:12" ht="15" thickBot="1" x14ac:dyDescent="0.35">
      <c r="B29" s="31" t="s">
        <v>2</v>
      </c>
      <c r="C29" s="32" t="s">
        <v>12</v>
      </c>
      <c r="D29" s="32" t="s">
        <v>6</v>
      </c>
      <c r="E29" s="32" t="s">
        <v>4</v>
      </c>
      <c r="F29" s="32" t="s">
        <v>3</v>
      </c>
      <c r="G29" s="31" t="s">
        <v>7</v>
      </c>
      <c r="H29" s="32" t="s">
        <v>8</v>
      </c>
      <c r="I29" s="32" t="s">
        <v>9</v>
      </c>
      <c r="J29" s="32" t="s">
        <v>10</v>
      </c>
      <c r="K29" s="33" t="s">
        <v>11</v>
      </c>
    </row>
    <row r="30" spans="2:12" x14ac:dyDescent="0.3">
      <c r="B30" s="5" t="s">
        <v>17</v>
      </c>
      <c r="C30" s="10" t="s">
        <v>20</v>
      </c>
      <c r="D30" s="6">
        <v>50000</v>
      </c>
      <c r="E30" s="6" t="s">
        <v>15</v>
      </c>
      <c r="F30" s="34" t="s">
        <v>14</v>
      </c>
      <c r="G30" s="9">
        <v>20.65</v>
      </c>
      <c r="H30" s="10">
        <v>19</v>
      </c>
      <c r="I30" s="10">
        <v>23</v>
      </c>
      <c r="J30" s="10">
        <v>21</v>
      </c>
      <c r="K30" s="11">
        <v>0.66</v>
      </c>
    </row>
    <row r="31" spans="2:12" x14ac:dyDescent="0.3">
      <c r="B31" s="5" t="s">
        <v>17</v>
      </c>
      <c r="C31" s="10" t="s">
        <v>20</v>
      </c>
      <c r="D31" s="6">
        <v>50000</v>
      </c>
      <c r="E31" s="6" t="s">
        <v>15</v>
      </c>
      <c r="F31" s="34" t="s">
        <v>26</v>
      </c>
      <c r="G31" s="9">
        <v>3</v>
      </c>
      <c r="H31" s="10">
        <v>3</v>
      </c>
      <c r="I31" s="10">
        <v>3</v>
      </c>
      <c r="J31" s="10">
        <v>3</v>
      </c>
      <c r="K31" s="11">
        <v>0</v>
      </c>
    </row>
    <row r="32" spans="2:12" x14ac:dyDescent="0.3">
      <c r="B32" s="5" t="s">
        <v>17</v>
      </c>
      <c r="C32" s="10" t="s">
        <v>20</v>
      </c>
      <c r="D32" s="6">
        <v>50000</v>
      </c>
      <c r="E32" s="6" t="s">
        <v>15</v>
      </c>
      <c r="F32" s="34" t="s">
        <v>27</v>
      </c>
      <c r="G32" s="9">
        <v>7</v>
      </c>
      <c r="H32" s="10">
        <v>7</v>
      </c>
      <c r="I32" s="10">
        <v>7</v>
      </c>
      <c r="J32" s="10">
        <v>7</v>
      </c>
      <c r="K32" s="11">
        <v>0</v>
      </c>
    </row>
    <row r="33" spans="2:12" x14ac:dyDescent="0.3">
      <c r="B33" s="5" t="s">
        <v>17</v>
      </c>
      <c r="C33" s="10" t="s">
        <v>20</v>
      </c>
      <c r="D33" s="6">
        <v>50000</v>
      </c>
      <c r="E33" s="6" t="s">
        <v>15</v>
      </c>
      <c r="F33" s="34" t="s">
        <v>28</v>
      </c>
      <c r="G33" s="9">
        <v>13.88</v>
      </c>
      <c r="H33" s="10">
        <v>13</v>
      </c>
      <c r="I33" s="10">
        <v>15</v>
      </c>
      <c r="J33" s="10">
        <v>14</v>
      </c>
      <c r="K33" s="11">
        <v>0.48</v>
      </c>
    </row>
    <row r="34" spans="2:12" ht="15" thickBot="1" x14ac:dyDescent="0.35">
      <c r="B34" s="24" t="s">
        <v>17</v>
      </c>
      <c r="C34" s="25" t="s">
        <v>20</v>
      </c>
      <c r="D34" s="29">
        <v>50000</v>
      </c>
      <c r="E34" s="29" t="s">
        <v>15</v>
      </c>
      <c r="F34" s="35" t="s">
        <v>29</v>
      </c>
      <c r="G34" s="27">
        <v>7.91</v>
      </c>
      <c r="H34" s="25">
        <v>7</v>
      </c>
      <c r="I34" s="25">
        <v>8</v>
      </c>
      <c r="J34" s="25">
        <v>8</v>
      </c>
      <c r="K34" s="28">
        <v>0.28999999999999998</v>
      </c>
    </row>
    <row r="35" spans="2:12" ht="15" thickBot="1" x14ac:dyDescent="0.35">
      <c r="G35" s="4"/>
    </row>
    <row r="36" spans="2:12" ht="15" thickBot="1" x14ac:dyDescent="0.35">
      <c r="B36" s="59" t="s">
        <v>0</v>
      </c>
      <c r="C36" s="60"/>
      <c r="D36" s="60"/>
      <c r="E36" s="60"/>
      <c r="F36" s="60"/>
      <c r="G36" s="60"/>
      <c r="H36" s="59" t="s">
        <v>1</v>
      </c>
      <c r="I36" s="60"/>
      <c r="J36" s="60"/>
      <c r="K36" s="60"/>
      <c r="L36" s="61"/>
    </row>
    <row r="37" spans="2:12" ht="15" thickBot="1" x14ac:dyDescent="0.35">
      <c r="B37" s="1" t="s">
        <v>2</v>
      </c>
      <c r="C37" s="2" t="s">
        <v>25</v>
      </c>
      <c r="D37" s="2" t="s">
        <v>12</v>
      </c>
      <c r="E37" s="2" t="s">
        <v>6</v>
      </c>
      <c r="F37" s="2" t="s">
        <v>4</v>
      </c>
      <c r="G37" s="2" t="s">
        <v>3</v>
      </c>
      <c r="H37" s="1" t="s">
        <v>7</v>
      </c>
      <c r="I37" s="2" t="s">
        <v>8</v>
      </c>
      <c r="J37" s="2" t="s">
        <v>9</v>
      </c>
      <c r="K37" s="2" t="s">
        <v>10</v>
      </c>
      <c r="L37" s="3" t="s">
        <v>11</v>
      </c>
    </row>
    <row r="38" spans="2:12" x14ac:dyDescent="0.3">
      <c r="B38" s="5" t="s">
        <v>30</v>
      </c>
      <c r="C38" s="10">
        <v>50</v>
      </c>
      <c r="D38" s="10" t="s">
        <v>20</v>
      </c>
      <c r="E38" s="6">
        <v>50000</v>
      </c>
      <c r="F38" s="6" t="s">
        <v>15</v>
      </c>
      <c r="G38" s="34" t="s">
        <v>14</v>
      </c>
      <c r="H38" s="9">
        <v>373.28</v>
      </c>
      <c r="I38" s="10">
        <v>309</v>
      </c>
      <c r="J38" s="10">
        <v>467</v>
      </c>
      <c r="K38" s="10">
        <v>368.5</v>
      </c>
      <c r="L38" s="11">
        <v>37.18</v>
      </c>
    </row>
    <row r="39" spans="2:12" x14ac:dyDescent="0.3">
      <c r="B39" s="5" t="s">
        <v>30</v>
      </c>
      <c r="C39" s="10">
        <v>50</v>
      </c>
      <c r="D39" s="10" t="s">
        <v>20</v>
      </c>
      <c r="E39" s="6">
        <v>50000</v>
      </c>
      <c r="F39" s="6" t="s">
        <v>15</v>
      </c>
      <c r="G39" s="34" t="s">
        <v>26</v>
      </c>
      <c r="H39" s="9">
        <v>322.55</v>
      </c>
      <c r="I39" s="10">
        <v>301</v>
      </c>
      <c r="J39" s="10">
        <v>410</v>
      </c>
      <c r="K39" s="10">
        <v>313</v>
      </c>
      <c r="L39" s="11">
        <v>21.89</v>
      </c>
    </row>
    <row r="40" spans="2:12" x14ac:dyDescent="0.3">
      <c r="B40" s="5" t="s">
        <v>30</v>
      </c>
      <c r="C40" s="10">
        <v>50</v>
      </c>
      <c r="D40" s="10" t="s">
        <v>20</v>
      </c>
      <c r="E40" s="6">
        <v>50000</v>
      </c>
      <c r="F40" s="6" t="s">
        <v>15</v>
      </c>
      <c r="G40" s="34" t="s">
        <v>27</v>
      </c>
      <c r="H40" s="9">
        <v>335.15</v>
      </c>
      <c r="I40" s="10">
        <v>304</v>
      </c>
      <c r="J40" s="10">
        <v>442</v>
      </c>
      <c r="K40" s="10">
        <v>316</v>
      </c>
      <c r="L40" s="11">
        <v>35.33</v>
      </c>
    </row>
    <row r="41" spans="2:12" x14ac:dyDescent="0.3">
      <c r="B41" s="5" t="s">
        <v>30</v>
      </c>
      <c r="C41" s="10">
        <v>50</v>
      </c>
      <c r="D41" s="10" t="s">
        <v>20</v>
      </c>
      <c r="E41" s="6">
        <v>50000</v>
      </c>
      <c r="F41" s="6" t="s">
        <v>15</v>
      </c>
      <c r="G41" s="34" t="s">
        <v>28</v>
      </c>
      <c r="H41" s="9">
        <v>369.49</v>
      </c>
      <c r="I41" s="10">
        <v>315</v>
      </c>
      <c r="J41" s="10">
        <v>449</v>
      </c>
      <c r="K41" s="10">
        <v>362.5</v>
      </c>
      <c r="L41" s="11">
        <v>32.28</v>
      </c>
    </row>
    <row r="42" spans="2:12" ht="15" thickBot="1" x14ac:dyDescent="0.35">
      <c r="B42" s="24" t="s">
        <v>30</v>
      </c>
      <c r="C42" s="25">
        <v>50</v>
      </c>
      <c r="D42" s="25" t="s">
        <v>20</v>
      </c>
      <c r="E42" s="29">
        <v>50000</v>
      </c>
      <c r="F42" s="29" t="s">
        <v>15</v>
      </c>
      <c r="G42" s="35" t="s">
        <v>29</v>
      </c>
      <c r="H42" s="27">
        <v>336.95</v>
      </c>
      <c r="I42" s="25">
        <v>303</v>
      </c>
      <c r="J42" s="25">
        <v>450</v>
      </c>
      <c r="K42" s="25">
        <v>325</v>
      </c>
      <c r="L42" s="28">
        <v>33.380000000000003</v>
      </c>
    </row>
  </sheetData>
  <mergeCells count="10">
    <mergeCell ref="B28:F28"/>
    <mergeCell ref="G28:K28"/>
    <mergeCell ref="B36:G36"/>
    <mergeCell ref="H36:L36"/>
    <mergeCell ref="B4:E4"/>
    <mergeCell ref="F4:J4"/>
    <mergeCell ref="B12:E12"/>
    <mergeCell ref="F12:J12"/>
    <mergeCell ref="B20:F20"/>
    <mergeCell ref="G20:K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AB06-8714-4FF5-8B03-47BB7745C7A1}">
  <dimension ref="B3:K9"/>
  <sheetViews>
    <sheetView zoomScale="40" zoomScaleNormal="40" workbookViewId="0">
      <selection activeCell="H32" sqref="H32"/>
    </sheetView>
  </sheetViews>
  <sheetFormatPr defaultRowHeight="14.4" x14ac:dyDescent="0.3"/>
  <cols>
    <col min="2" max="2" width="11.44140625" customWidth="1"/>
    <col min="3" max="3" width="8" bestFit="1" customWidth="1"/>
    <col min="4" max="4" width="15.6640625" bestFit="1" customWidth="1"/>
    <col min="5" max="5" width="10.77734375" bestFit="1" customWidth="1"/>
    <col min="6" max="6" width="10.44140625" bestFit="1" customWidth="1"/>
    <col min="7" max="7" width="14.44140625" bestFit="1" customWidth="1"/>
    <col min="8" max="8" width="8.21875" bestFit="1" customWidth="1"/>
    <col min="9" max="9" width="8.5546875" bestFit="1" customWidth="1"/>
    <col min="10" max="10" width="12.33203125" bestFit="1" customWidth="1"/>
    <col min="11" max="11" width="13.77734375" bestFit="1" customWidth="1"/>
  </cols>
  <sheetData>
    <row r="3" spans="2:11" ht="15" thickBot="1" x14ac:dyDescent="0.35"/>
    <row r="4" spans="2:11" ht="15" thickBot="1" x14ac:dyDescent="0.35">
      <c r="B4" s="59" t="s">
        <v>0</v>
      </c>
      <c r="C4" s="60"/>
      <c r="D4" s="60"/>
      <c r="E4" s="60"/>
      <c r="F4" s="61"/>
      <c r="G4" s="59" t="s">
        <v>1</v>
      </c>
      <c r="H4" s="60"/>
      <c r="I4" s="60"/>
      <c r="J4" s="60"/>
      <c r="K4" s="61"/>
    </row>
    <row r="5" spans="2:11" ht="15" thickBot="1" x14ac:dyDescent="0.35">
      <c r="B5" s="31" t="s">
        <v>2</v>
      </c>
      <c r="C5" s="32" t="s">
        <v>5</v>
      </c>
      <c r="D5" s="32" t="s">
        <v>6</v>
      </c>
      <c r="E5" s="32" t="s">
        <v>3</v>
      </c>
      <c r="F5" s="32" t="s">
        <v>4</v>
      </c>
      <c r="G5" s="31" t="s">
        <v>7</v>
      </c>
      <c r="H5" s="32" t="s">
        <v>8</v>
      </c>
      <c r="I5" s="32" t="s">
        <v>9</v>
      </c>
      <c r="J5" s="32" t="s">
        <v>10</v>
      </c>
      <c r="K5" s="33" t="s">
        <v>11</v>
      </c>
    </row>
    <row r="6" spans="2:11" x14ac:dyDescent="0.3">
      <c r="B6" s="5" t="s">
        <v>13</v>
      </c>
      <c r="C6" s="10" t="s">
        <v>22</v>
      </c>
      <c r="D6" s="6">
        <v>50000</v>
      </c>
      <c r="E6" s="6" t="s">
        <v>14</v>
      </c>
      <c r="F6" s="34" t="s">
        <v>15</v>
      </c>
      <c r="G6" s="9">
        <v>8.9700000000000006</v>
      </c>
      <c r="H6" s="10">
        <v>8</v>
      </c>
      <c r="I6" s="10">
        <v>9</v>
      </c>
      <c r="J6" s="10">
        <v>9</v>
      </c>
      <c r="K6" s="11">
        <v>0.17</v>
      </c>
    </row>
    <row r="7" spans="2:11" x14ac:dyDescent="0.3">
      <c r="B7" s="5" t="s">
        <v>13</v>
      </c>
      <c r="C7" s="10" t="s">
        <v>22</v>
      </c>
      <c r="D7" s="6">
        <v>50000</v>
      </c>
      <c r="E7" s="6" t="s">
        <v>14</v>
      </c>
      <c r="F7" s="34" t="s">
        <v>31</v>
      </c>
      <c r="G7" s="9">
        <v>8.7899999999999991</v>
      </c>
      <c r="H7" s="10">
        <v>8</v>
      </c>
      <c r="I7" s="10">
        <v>10</v>
      </c>
      <c r="J7" s="10">
        <v>9</v>
      </c>
      <c r="K7" s="11">
        <v>0.46</v>
      </c>
    </row>
    <row r="8" spans="2:11" x14ac:dyDescent="0.3">
      <c r="B8" s="5" t="s">
        <v>13</v>
      </c>
      <c r="C8" s="10" t="s">
        <v>22</v>
      </c>
      <c r="D8" s="6">
        <v>50000</v>
      </c>
      <c r="E8" s="6" t="s">
        <v>14</v>
      </c>
      <c r="F8" s="34" t="s">
        <v>32</v>
      </c>
      <c r="G8" s="9">
        <v>36.19</v>
      </c>
      <c r="H8" s="10">
        <v>35</v>
      </c>
      <c r="I8" s="10">
        <v>39</v>
      </c>
      <c r="J8" s="10">
        <v>36</v>
      </c>
      <c r="K8" s="11">
        <v>0.84</v>
      </c>
    </row>
    <row r="9" spans="2:11" ht="15" thickBot="1" x14ac:dyDescent="0.35">
      <c r="B9" s="24" t="s">
        <v>13</v>
      </c>
      <c r="C9" s="25" t="s">
        <v>22</v>
      </c>
      <c r="D9" s="29">
        <v>50000</v>
      </c>
      <c r="E9" s="29" t="s">
        <v>14</v>
      </c>
      <c r="F9" s="35" t="s">
        <v>33</v>
      </c>
      <c r="G9" s="27">
        <v>64.599999999999994</v>
      </c>
      <c r="H9" s="25">
        <v>62</v>
      </c>
      <c r="I9" s="25">
        <v>71</v>
      </c>
      <c r="J9" s="25">
        <v>64</v>
      </c>
      <c r="K9" s="28">
        <v>1.74</v>
      </c>
    </row>
  </sheetData>
  <mergeCells count="2">
    <mergeCell ref="B4:F4"/>
    <mergeCell ref="G4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F566-46D4-4FE9-AC7A-DD5AF8B3959E}">
  <dimension ref="B1:AR57"/>
  <sheetViews>
    <sheetView topLeftCell="U15" zoomScale="70" zoomScaleNormal="70" workbookViewId="0">
      <selection activeCell="AH45" sqref="AH45"/>
    </sheetView>
  </sheetViews>
  <sheetFormatPr defaultRowHeight="14.4" x14ac:dyDescent="0.3"/>
  <cols>
    <col min="2" max="2" width="9.5546875" bestFit="1" customWidth="1"/>
    <col min="3" max="3" width="8.5546875" bestFit="1" customWidth="1"/>
    <col min="4" max="4" width="16.44140625" bestFit="1" customWidth="1"/>
    <col min="5" max="5" width="10.5546875" bestFit="1" customWidth="1"/>
    <col min="6" max="6" width="20" bestFit="1" customWidth="1"/>
    <col min="7" max="7" width="15.109375" bestFit="1" customWidth="1"/>
    <col min="8" max="8" width="8.5546875" bestFit="1" customWidth="1"/>
    <col min="10" max="10" width="12.88671875" bestFit="1" customWidth="1"/>
    <col min="11" max="11" width="14.6640625" bestFit="1" customWidth="1"/>
    <col min="13" max="13" width="9.5546875" bestFit="1" customWidth="1"/>
    <col min="14" max="14" width="6.109375" bestFit="1" customWidth="1"/>
    <col min="15" max="15" width="16.44140625" bestFit="1" customWidth="1"/>
    <col min="16" max="16" width="10.5546875" bestFit="1" customWidth="1"/>
    <col min="17" max="17" width="21.21875" bestFit="1" customWidth="1"/>
    <col min="18" max="18" width="19.88671875" bestFit="1" customWidth="1"/>
    <col min="19" max="19" width="7.109375" bestFit="1" customWidth="1"/>
    <col min="20" max="20" width="9" bestFit="1" customWidth="1"/>
    <col min="21" max="21" width="7.33203125" bestFit="1" customWidth="1"/>
    <col min="22" max="22" width="14" bestFit="1" customWidth="1"/>
    <col min="24" max="24" width="9.5546875" bestFit="1" customWidth="1"/>
    <col min="25" max="25" width="7.109375" bestFit="1" customWidth="1"/>
    <col min="26" max="26" width="16.44140625" bestFit="1" customWidth="1"/>
    <col min="27" max="27" width="10.5546875" bestFit="1" customWidth="1"/>
    <col min="28" max="28" width="20" bestFit="1" customWidth="1"/>
    <col min="29" max="29" width="15.109375" bestFit="1" customWidth="1"/>
    <col min="30" max="30" width="8.5546875" bestFit="1" customWidth="1"/>
    <col min="32" max="32" width="12.88671875" bestFit="1" customWidth="1"/>
    <col min="33" max="33" width="14.6640625" bestFit="1" customWidth="1"/>
    <col min="35" max="35" width="9.5546875" bestFit="1" customWidth="1"/>
    <col min="36" max="36" width="8.44140625" bestFit="1" customWidth="1"/>
    <col min="37" max="37" width="16.44140625" bestFit="1" customWidth="1"/>
    <col min="38" max="38" width="10.5546875" bestFit="1" customWidth="1"/>
    <col min="39" max="39" width="20" bestFit="1" customWidth="1"/>
    <col min="40" max="40" width="15.109375" bestFit="1" customWidth="1"/>
    <col min="41" max="41" width="8.5546875" bestFit="1" customWidth="1"/>
    <col min="43" max="43" width="12.88671875" bestFit="1" customWidth="1"/>
    <col min="44" max="44" width="14.6640625" bestFit="1" customWidth="1"/>
  </cols>
  <sheetData>
    <row r="1" spans="2:44" ht="15" thickBot="1" x14ac:dyDescent="0.35"/>
    <row r="2" spans="2:44" ht="15" thickBot="1" x14ac:dyDescent="0.35">
      <c r="B2" s="59" t="s">
        <v>0</v>
      </c>
      <c r="C2" s="60"/>
      <c r="D2" s="60"/>
      <c r="E2" s="60"/>
      <c r="F2" s="61"/>
      <c r="G2" s="59" t="s">
        <v>1</v>
      </c>
      <c r="H2" s="60"/>
      <c r="I2" s="60"/>
      <c r="J2" s="60"/>
      <c r="K2" s="61"/>
      <c r="M2" s="59" t="s">
        <v>0</v>
      </c>
      <c r="N2" s="60"/>
      <c r="O2" s="60"/>
      <c r="P2" s="60"/>
      <c r="Q2" s="61"/>
      <c r="R2" s="59" t="s">
        <v>1</v>
      </c>
      <c r="S2" s="60"/>
      <c r="T2" s="60"/>
      <c r="U2" s="60"/>
      <c r="V2" s="61"/>
      <c r="X2" s="59" t="s">
        <v>0</v>
      </c>
      <c r="Y2" s="60"/>
      <c r="Z2" s="60"/>
      <c r="AA2" s="60"/>
      <c r="AB2" s="61"/>
      <c r="AC2" s="59" t="s">
        <v>1</v>
      </c>
      <c r="AD2" s="60"/>
      <c r="AE2" s="60"/>
      <c r="AF2" s="60"/>
      <c r="AG2" s="61"/>
      <c r="AI2" s="59" t="s">
        <v>0</v>
      </c>
      <c r="AJ2" s="60"/>
      <c r="AK2" s="60"/>
      <c r="AL2" s="60"/>
      <c r="AM2" s="61"/>
      <c r="AN2" s="59" t="s">
        <v>1</v>
      </c>
      <c r="AO2" s="60"/>
      <c r="AP2" s="60"/>
      <c r="AQ2" s="60"/>
      <c r="AR2" s="61"/>
    </row>
    <row r="3" spans="2:44" ht="15" thickBot="1" x14ac:dyDescent="0.35">
      <c r="B3" s="31" t="s">
        <v>2</v>
      </c>
      <c r="C3" s="32" t="s">
        <v>5</v>
      </c>
      <c r="D3" s="32" t="s">
        <v>6</v>
      </c>
      <c r="E3" s="32" t="s">
        <v>4</v>
      </c>
      <c r="F3" s="32" t="s">
        <v>3</v>
      </c>
      <c r="G3" s="31" t="s">
        <v>7</v>
      </c>
      <c r="H3" s="32" t="s">
        <v>8</v>
      </c>
      <c r="I3" s="32" t="s">
        <v>9</v>
      </c>
      <c r="J3" s="32" t="s">
        <v>10</v>
      </c>
      <c r="K3" s="33" t="s">
        <v>11</v>
      </c>
      <c r="M3" s="31" t="s">
        <v>2</v>
      </c>
      <c r="N3" s="32" t="s">
        <v>5</v>
      </c>
      <c r="O3" s="32" t="s">
        <v>6</v>
      </c>
      <c r="P3" s="32" t="s">
        <v>4</v>
      </c>
      <c r="Q3" s="32" t="s">
        <v>3</v>
      </c>
      <c r="R3" s="31" t="s">
        <v>7</v>
      </c>
      <c r="S3" s="32" t="s">
        <v>8</v>
      </c>
      <c r="T3" s="32" t="s">
        <v>9</v>
      </c>
      <c r="U3" s="32" t="s">
        <v>10</v>
      </c>
      <c r="V3" s="33" t="s">
        <v>11</v>
      </c>
      <c r="X3" s="31" t="s">
        <v>2</v>
      </c>
      <c r="Y3" s="32" t="s">
        <v>5</v>
      </c>
      <c r="Z3" s="32" t="s">
        <v>6</v>
      </c>
      <c r="AA3" s="32" t="s">
        <v>4</v>
      </c>
      <c r="AB3" s="32" t="s">
        <v>3</v>
      </c>
      <c r="AC3" s="31" t="s">
        <v>7</v>
      </c>
      <c r="AD3" s="32" t="s">
        <v>8</v>
      </c>
      <c r="AE3" s="32" t="s">
        <v>9</v>
      </c>
      <c r="AF3" s="32" t="s">
        <v>10</v>
      </c>
      <c r="AG3" s="33" t="s">
        <v>11</v>
      </c>
      <c r="AI3" s="31" t="s">
        <v>2</v>
      </c>
      <c r="AJ3" s="32" t="s">
        <v>5</v>
      </c>
      <c r="AK3" s="32" t="s">
        <v>6</v>
      </c>
      <c r="AL3" s="32" t="s">
        <v>4</v>
      </c>
      <c r="AM3" s="32" t="s">
        <v>3</v>
      </c>
      <c r="AN3" s="31" t="s">
        <v>7</v>
      </c>
      <c r="AO3" s="32" t="s">
        <v>8</v>
      </c>
      <c r="AP3" s="32" t="s">
        <v>9</v>
      </c>
      <c r="AQ3" s="32" t="s">
        <v>10</v>
      </c>
      <c r="AR3" s="33" t="s">
        <v>11</v>
      </c>
    </row>
    <row r="4" spans="2:44" x14ac:dyDescent="0.3">
      <c r="B4" s="5" t="s">
        <v>13</v>
      </c>
      <c r="C4" s="10" t="s">
        <v>16</v>
      </c>
      <c r="D4" s="6">
        <v>10000</v>
      </c>
      <c r="E4" s="42" t="s">
        <v>15</v>
      </c>
      <c r="F4" s="34" t="s">
        <v>14</v>
      </c>
      <c r="G4" s="9">
        <v>1.01</v>
      </c>
      <c r="H4" s="10">
        <v>1</v>
      </c>
      <c r="I4" s="10">
        <v>2</v>
      </c>
      <c r="J4" s="10">
        <v>1</v>
      </c>
      <c r="K4" s="11">
        <v>0.1</v>
      </c>
      <c r="M4" s="5" t="s">
        <v>13</v>
      </c>
      <c r="N4" s="10" t="s">
        <v>19</v>
      </c>
      <c r="O4" s="6">
        <v>10000</v>
      </c>
      <c r="P4" s="42" t="s">
        <v>15</v>
      </c>
      <c r="Q4" s="34" t="s">
        <v>14</v>
      </c>
      <c r="R4" s="9">
        <v>1</v>
      </c>
      <c r="S4" s="10">
        <v>1</v>
      </c>
      <c r="T4" s="10">
        <v>1</v>
      </c>
      <c r="U4" s="10">
        <v>1</v>
      </c>
      <c r="V4" s="11">
        <v>0</v>
      </c>
      <c r="X4" s="5" t="s">
        <v>13</v>
      </c>
      <c r="Y4" s="10" t="s">
        <v>21</v>
      </c>
      <c r="Z4" s="6">
        <v>10000</v>
      </c>
      <c r="AA4" s="42" t="s">
        <v>15</v>
      </c>
      <c r="AB4" s="34" t="s">
        <v>14</v>
      </c>
      <c r="AC4" s="9">
        <v>1.1599999999999999</v>
      </c>
      <c r="AD4" s="10">
        <v>1</v>
      </c>
      <c r="AE4" s="10">
        <v>2</v>
      </c>
      <c r="AF4" s="10">
        <v>1</v>
      </c>
      <c r="AG4" s="11">
        <v>0.37</v>
      </c>
      <c r="AI4" s="5" t="s">
        <v>13</v>
      </c>
      <c r="AJ4" s="10" t="s">
        <v>22</v>
      </c>
      <c r="AK4" s="6">
        <v>10000</v>
      </c>
      <c r="AL4" s="42" t="s">
        <v>15</v>
      </c>
      <c r="AM4" s="34" t="s">
        <v>14</v>
      </c>
      <c r="AN4" s="9">
        <v>1.01</v>
      </c>
      <c r="AO4" s="10">
        <v>1</v>
      </c>
      <c r="AP4" s="10">
        <v>2</v>
      </c>
      <c r="AQ4" s="10">
        <v>1</v>
      </c>
      <c r="AR4" s="11">
        <v>0.1</v>
      </c>
    </row>
    <row r="5" spans="2:44" x14ac:dyDescent="0.3">
      <c r="B5" s="5" t="s">
        <v>13</v>
      </c>
      <c r="C5" s="10" t="s">
        <v>16</v>
      </c>
      <c r="D5" s="6">
        <v>10000</v>
      </c>
      <c r="E5" s="42" t="s">
        <v>15</v>
      </c>
      <c r="F5" s="34" t="s">
        <v>26</v>
      </c>
      <c r="G5" s="9">
        <v>488.01</v>
      </c>
      <c r="H5" s="10">
        <v>481</v>
      </c>
      <c r="I5" s="10">
        <v>495</v>
      </c>
      <c r="J5" s="10">
        <v>488</v>
      </c>
      <c r="K5" s="11">
        <v>1.98</v>
      </c>
      <c r="M5" s="5" t="s">
        <v>13</v>
      </c>
      <c r="N5" s="10" t="s">
        <v>19</v>
      </c>
      <c r="O5" s="6">
        <v>10000</v>
      </c>
      <c r="P5" s="42" t="s">
        <v>15</v>
      </c>
      <c r="Q5" s="34" t="s">
        <v>26</v>
      </c>
      <c r="R5" s="9">
        <v>191.6</v>
      </c>
      <c r="S5" s="10">
        <v>190</v>
      </c>
      <c r="T5" s="10">
        <v>194</v>
      </c>
      <c r="U5" s="10">
        <v>191</v>
      </c>
      <c r="V5" s="11">
        <v>0.86</v>
      </c>
      <c r="X5" s="5" t="s">
        <v>13</v>
      </c>
      <c r="Y5" s="10" t="s">
        <v>21</v>
      </c>
      <c r="Z5" s="6">
        <v>10000</v>
      </c>
      <c r="AA5" s="42" t="s">
        <v>15</v>
      </c>
      <c r="AB5" s="34" t="s">
        <v>26</v>
      </c>
      <c r="AC5" s="9">
        <v>1.01</v>
      </c>
      <c r="AD5" s="10">
        <v>1</v>
      </c>
      <c r="AE5" s="10">
        <v>2</v>
      </c>
      <c r="AF5" s="10">
        <v>1</v>
      </c>
      <c r="AG5" s="11">
        <v>0.1</v>
      </c>
      <c r="AI5" s="5" t="s">
        <v>13</v>
      </c>
      <c r="AJ5" s="10" t="s">
        <v>22</v>
      </c>
      <c r="AK5" s="6">
        <v>10000</v>
      </c>
      <c r="AL5" s="42" t="s">
        <v>15</v>
      </c>
      <c r="AM5" s="34" t="s">
        <v>26</v>
      </c>
      <c r="AN5" s="9">
        <v>0.75</v>
      </c>
      <c r="AO5" s="10">
        <v>0</v>
      </c>
      <c r="AP5" s="10">
        <v>1</v>
      </c>
      <c r="AQ5" s="10">
        <v>1</v>
      </c>
      <c r="AR5" s="11">
        <v>0.44</v>
      </c>
    </row>
    <row r="6" spans="2:44" x14ac:dyDescent="0.3">
      <c r="B6" s="5" t="s">
        <v>13</v>
      </c>
      <c r="C6" s="10" t="s">
        <v>16</v>
      </c>
      <c r="D6" s="6">
        <v>10000</v>
      </c>
      <c r="E6" s="42" t="s">
        <v>15</v>
      </c>
      <c r="F6" s="34" t="s">
        <v>27</v>
      </c>
      <c r="G6" s="9">
        <v>340.22</v>
      </c>
      <c r="H6" s="10">
        <v>336</v>
      </c>
      <c r="I6" s="10">
        <v>364</v>
      </c>
      <c r="J6" s="10">
        <v>340</v>
      </c>
      <c r="K6" s="11">
        <v>2.73</v>
      </c>
      <c r="M6" s="5" t="s">
        <v>13</v>
      </c>
      <c r="N6" s="10" t="s">
        <v>19</v>
      </c>
      <c r="O6" s="6">
        <v>10000</v>
      </c>
      <c r="P6" s="42" t="s">
        <v>15</v>
      </c>
      <c r="Q6" s="34" t="s">
        <v>27</v>
      </c>
      <c r="R6" s="9">
        <v>339.83</v>
      </c>
      <c r="S6" s="10">
        <v>337</v>
      </c>
      <c r="T6" s="10">
        <v>345</v>
      </c>
      <c r="U6" s="10">
        <v>340</v>
      </c>
      <c r="V6" s="11">
        <v>1.25</v>
      </c>
      <c r="X6" s="5" t="s">
        <v>13</v>
      </c>
      <c r="Y6" s="10" t="s">
        <v>21</v>
      </c>
      <c r="Z6" s="6">
        <v>10000</v>
      </c>
      <c r="AA6" s="42" t="s">
        <v>15</v>
      </c>
      <c r="AB6" s="34" t="s">
        <v>27</v>
      </c>
      <c r="AC6" s="9">
        <v>1.01</v>
      </c>
      <c r="AD6" s="10">
        <v>1</v>
      </c>
      <c r="AE6" s="10">
        <v>2</v>
      </c>
      <c r="AF6" s="10">
        <v>1</v>
      </c>
      <c r="AG6" s="11">
        <v>0.1</v>
      </c>
      <c r="AI6" s="5" t="s">
        <v>13</v>
      </c>
      <c r="AJ6" s="10" t="s">
        <v>22</v>
      </c>
      <c r="AK6" s="6">
        <v>10000</v>
      </c>
      <c r="AL6" s="42" t="s">
        <v>15</v>
      </c>
      <c r="AM6" s="34" t="s">
        <v>27</v>
      </c>
      <c r="AN6" s="9">
        <v>1</v>
      </c>
      <c r="AO6" s="10">
        <v>1</v>
      </c>
      <c r="AP6" s="10">
        <v>1</v>
      </c>
      <c r="AQ6" s="10">
        <v>1</v>
      </c>
      <c r="AR6" s="11">
        <v>0</v>
      </c>
    </row>
    <row r="7" spans="2:44" x14ac:dyDescent="0.3">
      <c r="B7" s="5" t="s">
        <v>13</v>
      </c>
      <c r="C7" s="10" t="s">
        <v>16</v>
      </c>
      <c r="D7" s="6">
        <v>10000</v>
      </c>
      <c r="E7" s="42" t="s">
        <v>15</v>
      </c>
      <c r="F7" s="34" t="s">
        <v>38</v>
      </c>
      <c r="G7" s="9">
        <v>55.05</v>
      </c>
      <c r="H7" s="10">
        <v>55</v>
      </c>
      <c r="I7" s="10">
        <v>56</v>
      </c>
      <c r="J7" s="10">
        <v>55</v>
      </c>
      <c r="K7" s="11">
        <v>0.22</v>
      </c>
      <c r="M7" s="5" t="s">
        <v>13</v>
      </c>
      <c r="N7" s="10" t="s">
        <v>19</v>
      </c>
      <c r="O7" s="6">
        <v>10000</v>
      </c>
      <c r="P7" s="42" t="s">
        <v>15</v>
      </c>
      <c r="Q7" s="34" t="s">
        <v>38</v>
      </c>
      <c r="R7" s="9">
        <v>106.86</v>
      </c>
      <c r="S7" s="10">
        <v>105</v>
      </c>
      <c r="T7" s="10">
        <v>109</v>
      </c>
      <c r="U7" s="10">
        <v>107</v>
      </c>
      <c r="V7" s="11">
        <v>0.7</v>
      </c>
      <c r="X7" s="5" t="s">
        <v>13</v>
      </c>
      <c r="Y7" s="10" t="s">
        <v>21</v>
      </c>
      <c r="Z7" s="6">
        <v>10000</v>
      </c>
      <c r="AA7" s="42" t="s">
        <v>15</v>
      </c>
      <c r="AB7" s="34" t="s">
        <v>38</v>
      </c>
      <c r="AC7" s="9">
        <v>1</v>
      </c>
      <c r="AD7" s="10">
        <v>1</v>
      </c>
      <c r="AE7" s="10">
        <v>1</v>
      </c>
      <c r="AF7" s="10">
        <v>1</v>
      </c>
      <c r="AG7" s="11">
        <v>0</v>
      </c>
      <c r="AI7" s="5" t="s">
        <v>13</v>
      </c>
      <c r="AJ7" s="10" t="s">
        <v>22</v>
      </c>
      <c r="AK7" s="6">
        <v>10000</v>
      </c>
      <c r="AL7" s="42" t="s">
        <v>15</v>
      </c>
      <c r="AM7" s="34" t="s">
        <v>38</v>
      </c>
      <c r="AN7" s="9">
        <v>1</v>
      </c>
      <c r="AO7" s="10">
        <v>1</v>
      </c>
      <c r="AP7" s="10">
        <v>1</v>
      </c>
      <c r="AQ7" s="10">
        <v>1</v>
      </c>
      <c r="AR7" s="11">
        <v>0</v>
      </c>
    </row>
    <row r="8" spans="2:44" ht="15" thickBot="1" x14ac:dyDescent="0.35">
      <c r="B8" s="24" t="s">
        <v>13</v>
      </c>
      <c r="C8" s="25" t="s">
        <v>16</v>
      </c>
      <c r="D8" s="29">
        <v>10000</v>
      </c>
      <c r="E8" s="43" t="s">
        <v>15</v>
      </c>
      <c r="F8" s="35" t="s">
        <v>39</v>
      </c>
      <c r="G8" s="27">
        <v>214.8</v>
      </c>
      <c r="H8" s="25">
        <v>214</v>
      </c>
      <c r="I8" s="25">
        <v>221</v>
      </c>
      <c r="J8" s="25">
        <v>215</v>
      </c>
      <c r="K8" s="28">
        <v>1.0900000000000001</v>
      </c>
      <c r="M8" s="24" t="s">
        <v>13</v>
      </c>
      <c r="N8" s="25" t="s">
        <v>19</v>
      </c>
      <c r="O8" s="29">
        <v>10000</v>
      </c>
      <c r="P8" s="43" t="s">
        <v>15</v>
      </c>
      <c r="Q8" s="35" t="s">
        <v>39</v>
      </c>
      <c r="R8" s="27">
        <v>169.93</v>
      </c>
      <c r="S8" s="25">
        <v>169</v>
      </c>
      <c r="T8" s="25">
        <v>174</v>
      </c>
      <c r="U8" s="25">
        <v>170</v>
      </c>
      <c r="V8" s="28">
        <v>0.87</v>
      </c>
      <c r="X8" s="24" t="s">
        <v>13</v>
      </c>
      <c r="Y8" s="25" t="s">
        <v>21</v>
      </c>
      <c r="Z8" s="29">
        <v>10000</v>
      </c>
      <c r="AA8" s="43" t="s">
        <v>15</v>
      </c>
      <c r="AB8" s="35" t="s">
        <v>39</v>
      </c>
      <c r="AC8" s="27">
        <v>1</v>
      </c>
      <c r="AD8" s="25">
        <v>1</v>
      </c>
      <c r="AE8" s="25">
        <v>1</v>
      </c>
      <c r="AF8" s="25">
        <v>1</v>
      </c>
      <c r="AG8" s="28">
        <v>0</v>
      </c>
      <c r="AI8" s="24" t="s">
        <v>13</v>
      </c>
      <c r="AJ8" s="25" t="s">
        <v>22</v>
      </c>
      <c r="AK8" s="29">
        <v>10000</v>
      </c>
      <c r="AL8" s="43" t="s">
        <v>15</v>
      </c>
      <c r="AM8" s="35" t="s">
        <v>39</v>
      </c>
      <c r="AN8" s="27">
        <v>1</v>
      </c>
      <c r="AO8" s="25">
        <v>1</v>
      </c>
      <c r="AP8" s="25">
        <v>1</v>
      </c>
      <c r="AQ8" s="25">
        <v>1</v>
      </c>
      <c r="AR8" s="28">
        <v>0</v>
      </c>
    </row>
    <row r="35" spans="2:22" ht="15" thickBot="1" x14ac:dyDescent="0.35"/>
    <row r="36" spans="2:22" ht="15" thickBot="1" x14ac:dyDescent="0.35">
      <c r="B36" s="59" t="s">
        <v>0</v>
      </c>
      <c r="C36" s="60"/>
      <c r="D36" s="60"/>
      <c r="E36" s="60"/>
      <c r="F36" s="61"/>
      <c r="G36" s="59" t="s">
        <v>1</v>
      </c>
      <c r="H36" s="60"/>
      <c r="I36" s="60"/>
      <c r="J36" s="60"/>
      <c r="K36" s="61"/>
    </row>
    <row r="37" spans="2:22" ht="15" thickBot="1" x14ac:dyDescent="0.35">
      <c r="B37" s="45" t="s">
        <v>2</v>
      </c>
      <c r="C37" s="46" t="s">
        <v>5</v>
      </c>
      <c r="D37" s="46" t="s">
        <v>6</v>
      </c>
      <c r="E37" s="46" t="s">
        <v>4</v>
      </c>
      <c r="F37" s="46" t="s">
        <v>3</v>
      </c>
      <c r="G37" s="45" t="s">
        <v>7</v>
      </c>
      <c r="H37" s="46" t="s">
        <v>8</v>
      </c>
      <c r="I37" s="46" t="s">
        <v>9</v>
      </c>
      <c r="J37" s="46" t="s">
        <v>10</v>
      </c>
      <c r="K37" s="50" t="s">
        <v>11</v>
      </c>
    </row>
    <row r="38" spans="2:22" x14ac:dyDescent="0.3">
      <c r="B38" s="36" t="s">
        <v>13</v>
      </c>
      <c r="C38" s="47" t="s">
        <v>16</v>
      </c>
      <c r="D38" s="37">
        <v>10000</v>
      </c>
      <c r="E38" s="48" t="s">
        <v>15</v>
      </c>
      <c r="F38" s="49" t="s">
        <v>14</v>
      </c>
      <c r="G38" s="51">
        <v>1.01</v>
      </c>
      <c r="H38" s="47">
        <v>1</v>
      </c>
      <c r="I38" s="47">
        <v>2</v>
      </c>
      <c r="J38" s="47">
        <v>1</v>
      </c>
      <c r="K38" s="52">
        <v>0.1</v>
      </c>
      <c r="Q38" s="39" t="s">
        <v>34</v>
      </c>
      <c r="R38" s="39" t="s">
        <v>37</v>
      </c>
    </row>
    <row r="39" spans="2:22" x14ac:dyDescent="0.3">
      <c r="B39" s="5" t="s">
        <v>13</v>
      </c>
      <c r="C39" s="10" t="s">
        <v>16</v>
      </c>
      <c r="D39" s="6">
        <v>10000</v>
      </c>
      <c r="E39" s="42" t="s">
        <v>15</v>
      </c>
      <c r="F39" s="34" t="s">
        <v>26</v>
      </c>
      <c r="G39" s="9">
        <v>488.01</v>
      </c>
      <c r="H39" s="10">
        <v>481</v>
      </c>
      <c r="I39" s="10">
        <v>495</v>
      </c>
      <c r="J39" s="10">
        <v>488</v>
      </c>
      <c r="K39" s="11">
        <v>1.98</v>
      </c>
      <c r="Q39" s="39" t="s">
        <v>35</v>
      </c>
      <c r="R39" t="s">
        <v>16</v>
      </c>
      <c r="S39" t="s">
        <v>21</v>
      </c>
      <c r="T39" t="s">
        <v>22</v>
      </c>
      <c r="U39" t="s">
        <v>19</v>
      </c>
      <c r="V39" t="s">
        <v>36</v>
      </c>
    </row>
    <row r="40" spans="2:22" x14ac:dyDescent="0.3">
      <c r="B40" s="5" t="s">
        <v>13</v>
      </c>
      <c r="C40" s="10" t="s">
        <v>16</v>
      </c>
      <c r="D40" s="6">
        <v>10000</v>
      </c>
      <c r="E40" s="42" t="s">
        <v>15</v>
      </c>
      <c r="F40" s="34" t="s">
        <v>27</v>
      </c>
      <c r="G40" s="9">
        <v>340.22</v>
      </c>
      <c r="H40" s="10">
        <v>336</v>
      </c>
      <c r="I40" s="10">
        <v>364</v>
      </c>
      <c r="J40" s="10">
        <v>340</v>
      </c>
      <c r="K40" s="11">
        <v>2.73</v>
      </c>
      <c r="Q40" s="44" t="s">
        <v>14</v>
      </c>
      <c r="R40" s="40">
        <v>1.01</v>
      </c>
      <c r="S40" s="40">
        <v>1.1599999999999999</v>
      </c>
      <c r="T40" s="40">
        <v>1.01</v>
      </c>
      <c r="U40" s="40">
        <v>1</v>
      </c>
      <c r="V40" s="40">
        <v>4.18</v>
      </c>
    </row>
    <row r="41" spans="2:22" x14ac:dyDescent="0.3">
      <c r="B41" s="5" t="s">
        <v>13</v>
      </c>
      <c r="C41" s="10" t="s">
        <v>16</v>
      </c>
      <c r="D41" s="6">
        <v>10000</v>
      </c>
      <c r="E41" s="42" t="s">
        <v>15</v>
      </c>
      <c r="F41" s="34" t="s">
        <v>38</v>
      </c>
      <c r="G41" s="9">
        <v>55.05</v>
      </c>
      <c r="H41" s="10">
        <v>55</v>
      </c>
      <c r="I41" s="10">
        <v>56</v>
      </c>
      <c r="J41" s="10">
        <v>55</v>
      </c>
      <c r="K41" s="11">
        <v>0.22</v>
      </c>
      <c r="Q41" s="44" t="s">
        <v>27</v>
      </c>
      <c r="R41" s="40">
        <v>340.22</v>
      </c>
      <c r="S41" s="40">
        <v>1.01</v>
      </c>
      <c r="T41" s="40">
        <v>1</v>
      </c>
      <c r="U41" s="40">
        <v>339.83</v>
      </c>
      <c r="V41" s="40">
        <v>682.06</v>
      </c>
    </row>
    <row r="42" spans="2:22" x14ac:dyDescent="0.3">
      <c r="B42" s="5" t="s">
        <v>13</v>
      </c>
      <c r="C42" s="10" t="s">
        <v>16</v>
      </c>
      <c r="D42" s="6">
        <v>10000</v>
      </c>
      <c r="E42" s="42" t="s">
        <v>15</v>
      </c>
      <c r="F42" s="34" t="s">
        <v>39</v>
      </c>
      <c r="G42" s="9">
        <v>214.8</v>
      </c>
      <c r="H42" s="10">
        <v>214</v>
      </c>
      <c r="I42" s="10">
        <v>221</v>
      </c>
      <c r="J42" s="10">
        <v>215</v>
      </c>
      <c r="K42" s="11">
        <v>1.0900000000000001</v>
      </c>
      <c r="Q42" s="44" t="s">
        <v>38</v>
      </c>
      <c r="R42" s="40">
        <v>55.05</v>
      </c>
      <c r="S42" s="40">
        <v>1</v>
      </c>
      <c r="T42" s="40">
        <v>1</v>
      </c>
      <c r="U42" s="40">
        <v>106.86</v>
      </c>
      <c r="V42" s="40">
        <v>163.91</v>
      </c>
    </row>
    <row r="43" spans="2:22" x14ac:dyDescent="0.3">
      <c r="B43" s="12" t="s">
        <v>13</v>
      </c>
      <c r="C43" s="13" t="s">
        <v>19</v>
      </c>
      <c r="D43" s="53">
        <v>10000</v>
      </c>
      <c r="E43" s="54" t="s">
        <v>15</v>
      </c>
      <c r="F43" s="55" t="s">
        <v>14</v>
      </c>
      <c r="G43" s="16">
        <v>1</v>
      </c>
      <c r="H43" s="13">
        <v>1</v>
      </c>
      <c r="I43" s="13">
        <v>1</v>
      </c>
      <c r="J43" s="13">
        <v>1</v>
      </c>
      <c r="K43" s="17">
        <v>0</v>
      </c>
      <c r="Q43" s="44" t="s">
        <v>39</v>
      </c>
      <c r="R43" s="40">
        <v>214.8</v>
      </c>
      <c r="S43" s="40">
        <v>1</v>
      </c>
      <c r="T43" s="40">
        <v>1</v>
      </c>
      <c r="U43" s="40">
        <v>169.93</v>
      </c>
      <c r="V43" s="40">
        <v>386.73</v>
      </c>
    </row>
    <row r="44" spans="2:22" x14ac:dyDescent="0.3">
      <c r="B44" s="12" t="s">
        <v>13</v>
      </c>
      <c r="C44" s="13" t="s">
        <v>19</v>
      </c>
      <c r="D44" s="53">
        <v>10000</v>
      </c>
      <c r="E44" s="54" t="s">
        <v>15</v>
      </c>
      <c r="F44" s="55" t="s">
        <v>26</v>
      </c>
      <c r="G44" s="16">
        <v>191.6</v>
      </c>
      <c r="H44" s="13">
        <v>190</v>
      </c>
      <c r="I44" s="13">
        <v>194</v>
      </c>
      <c r="J44" s="13">
        <v>191</v>
      </c>
      <c r="K44" s="17">
        <v>0.86</v>
      </c>
      <c r="Q44" s="44" t="s">
        <v>26</v>
      </c>
      <c r="R44" s="40">
        <v>488.01</v>
      </c>
      <c r="S44" s="40">
        <v>1.01</v>
      </c>
      <c r="T44" s="40">
        <v>0.75</v>
      </c>
      <c r="U44" s="40">
        <v>191.6</v>
      </c>
      <c r="V44" s="40">
        <v>681.37</v>
      </c>
    </row>
    <row r="45" spans="2:22" x14ac:dyDescent="0.3">
      <c r="B45" s="12" t="s">
        <v>13</v>
      </c>
      <c r="C45" s="13" t="s">
        <v>19</v>
      </c>
      <c r="D45" s="53">
        <v>10000</v>
      </c>
      <c r="E45" s="54" t="s">
        <v>15</v>
      </c>
      <c r="F45" s="55" t="s">
        <v>27</v>
      </c>
      <c r="G45" s="16">
        <v>339.83</v>
      </c>
      <c r="H45" s="13">
        <v>337</v>
      </c>
      <c r="I45" s="13">
        <v>345</v>
      </c>
      <c r="J45" s="13">
        <v>340</v>
      </c>
      <c r="K45" s="17">
        <v>1.25</v>
      </c>
      <c r="Q45" s="44" t="s">
        <v>36</v>
      </c>
      <c r="R45" s="40">
        <v>1099.0900000000001</v>
      </c>
      <c r="S45" s="40">
        <v>5.18</v>
      </c>
      <c r="T45" s="40">
        <v>4.76</v>
      </c>
      <c r="U45" s="40">
        <v>809.22</v>
      </c>
      <c r="V45" s="40">
        <v>1918.25</v>
      </c>
    </row>
    <row r="46" spans="2:22" x14ac:dyDescent="0.3">
      <c r="B46" s="12" t="s">
        <v>13</v>
      </c>
      <c r="C46" s="13" t="s">
        <v>19</v>
      </c>
      <c r="D46" s="53">
        <v>10000</v>
      </c>
      <c r="E46" s="54" t="s">
        <v>15</v>
      </c>
      <c r="F46" s="55" t="s">
        <v>38</v>
      </c>
      <c r="G46" s="16">
        <v>106.86</v>
      </c>
      <c r="H46" s="13">
        <v>105</v>
      </c>
      <c r="I46" s="13">
        <v>109</v>
      </c>
      <c r="J46" s="13">
        <v>107</v>
      </c>
      <c r="K46" s="17">
        <v>0.7</v>
      </c>
    </row>
    <row r="47" spans="2:22" x14ac:dyDescent="0.3">
      <c r="B47" s="12" t="s">
        <v>13</v>
      </c>
      <c r="C47" s="13" t="s">
        <v>19</v>
      </c>
      <c r="D47" s="53">
        <v>10000</v>
      </c>
      <c r="E47" s="54" t="s">
        <v>15</v>
      </c>
      <c r="F47" s="55" t="s">
        <v>39</v>
      </c>
      <c r="G47" s="16">
        <v>169.93</v>
      </c>
      <c r="H47" s="13">
        <v>169</v>
      </c>
      <c r="I47" s="13">
        <v>174</v>
      </c>
      <c r="J47" s="13">
        <v>170</v>
      </c>
      <c r="K47" s="17">
        <v>0.87</v>
      </c>
    </row>
    <row r="48" spans="2:22" x14ac:dyDescent="0.3">
      <c r="B48" s="5" t="s">
        <v>13</v>
      </c>
      <c r="C48" s="10" t="s">
        <v>21</v>
      </c>
      <c r="D48" s="6">
        <v>10000</v>
      </c>
      <c r="E48" s="42" t="s">
        <v>15</v>
      </c>
      <c r="F48" s="34" t="s">
        <v>14</v>
      </c>
      <c r="G48" s="9">
        <v>1.1599999999999999</v>
      </c>
      <c r="H48" s="10">
        <v>1</v>
      </c>
      <c r="I48" s="10">
        <v>2</v>
      </c>
      <c r="J48" s="10">
        <v>1</v>
      </c>
      <c r="K48" s="11">
        <v>0.37</v>
      </c>
    </row>
    <row r="49" spans="2:11" x14ac:dyDescent="0.3">
      <c r="B49" s="5" t="s">
        <v>13</v>
      </c>
      <c r="C49" s="10" t="s">
        <v>21</v>
      </c>
      <c r="D49" s="6">
        <v>10000</v>
      </c>
      <c r="E49" s="42" t="s">
        <v>15</v>
      </c>
      <c r="F49" s="34" t="s">
        <v>26</v>
      </c>
      <c r="G49" s="9">
        <v>1.01</v>
      </c>
      <c r="H49" s="10">
        <v>1</v>
      </c>
      <c r="I49" s="10">
        <v>2</v>
      </c>
      <c r="J49" s="10">
        <v>1</v>
      </c>
      <c r="K49" s="11">
        <v>0.1</v>
      </c>
    </row>
    <row r="50" spans="2:11" x14ac:dyDescent="0.3">
      <c r="B50" s="5" t="s">
        <v>13</v>
      </c>
      <c r="C50" s="10" t="s">
        <v>21</v>
      </c>
      <c r="D50" s="6">
        <v>10000</v>
      </c>
      <c r="E50" s="42" t="s">
        <v>15</v>
      </c>
      <c r="F50" s="34" t="s">
        <v>27</v>
      </c>
      <c r="G50" s="9">
        <v>1.01</v>
      </c>
      <c r="H50" s="10">
        <v>1</v>
      </c>
      <c r="I50" s="10">
        <v>2</v>
      </c>
      <c r="J50" s="10">
        <v>1</v>
      </c>
      <c r="K50" s="11">
        <v>0.1</v>
      </c>
    </row>
    <row r="51" spans="2:11" x14ac:dyDescent="0.3">
      <c r="B51" s="5" t="s">
        <v>13</v>
      </c>
      <c r="C51" s="10" t="s">
        <v>21</v>
      </c>
      <c r="D51" s="6">
        <v>10000</v>
      </c>
      <c r="E51" s="42" t="s">
        <v>15</v>
      </c>
      <c r="F51" s="34" t="s">
        <v>38</v>
      </c>
      <c r="G51" s="9">
        <v>1</v>
      </c>
      <c r="H51" s="10">
        <v>1</v>
      </c>
      <c r="I51" s="10">
        <v>1</v>
      </c>
      <c r="J51" s="10">
        <v>1</v>
      </c>
      <c r="K51" s="11">
        <v>0</v>
      </c>
    </row>
    <row r="52" spans="2:11" x14ac:dyDescent="0.3">
      <c r="B52" s="5" t="s">
        <v>13</v>
      </c>
      <c r="C52" s="10" t="s">
        <v>21</v>
      </c>
      <c r="D52" s="6">
        <v>10000</v>
      </c>
      <c r="E52" s="42" t="s">
        <v>15</v>
      </c>
      <c r="F52" s="34" t="s">
        <v>39</v>
      </c>
      <c r="G52" s="9">
        <v>1</v>
      </c>
      <c r="H52" s="10">
        <v>1</v>
      </c>
      <c r="I52" s="10">
        <v>1</v>
      </c>
      <c r="J52" s="10">
        <v>1</v>
      </c>
      <c r="K52" s="11">
        <v>0</v>
      </c>
    </row>
    <row r="53" spans="2:11" x14ac:dyDescent="0.3">
      <c r="B53" s="12" t="s">
        <v>13</v>
      </c>
      <c r="C53" s="13" t="s">
        <v>22</v>
      </c>
      <c r="D53" s="53">
        <v>10000</v>
      </c>
      <c r="E53" s="54" t="s">
        <v>15</v>
      </c>
      <c r="F53" s="55" t="s">
        <v>14</v>
      </c>
      <c r="G53" s="16">
        <v>1.01</v>
      </c>
      <c r="H53" s="13">
        <v>1</v>
      </c>
      <c r="I53" s="13">
        <v>2</v>
      </c>
      <c r="J53" s="13">
        <v>1</v>
      </c>
      <c r="K53" s="17">
        <v>0.1</v>
      </c>
    </row>
    <row r="54" spans="2:11" x14ac:dyDescent="0.3">
      <c r="B54" s="12" t="s">
        <v>13</v>
      </c>
      <c r="C54" s="13" t="s">
        <v>22</v>
      </c>
      <c r="D54" s="53">
        <v>10000</v>
      </c>
      <c r="E54" s="54" t="s">
        <v>15</v>
      </c>
      <c r="F54" s="55" t="s">
        <v>26</v>
      </c>
      <c r="G54" s="16">
        <v>0.75</v>
      </c>
      <c r="H54" s="13">
        <v>0</v>
      </c>
      <c r="I54" s="13">
        <v>1</v>
      </c>
      <c r="J54" s="13">
        <v>1</v>
      </c>
      <c r="K54" s="17">
        <v>0.44</v>
      </c>
    </row>
    <row r="55" spans="2:11" x14ac:dyDescent="0.3">
      <c r="B55" s="12" t="s">
        <v>13</v>
      </c>
      <c r="C55" s="13" t="s">
        <v>22</v>
      </c>
      <c r="D55" s="53">
        <v>10000</v>
      </c>
      <c r="E55" s="54" t="s">
        <v>15</v>
      </c>
      <c r="F55" s="55" t="s">
        <v>27</v>
      </c>
      <c r="G55" s="16">
        <v>1</v>
      </c>
      <c r="H55" s="13">
        <v>1</v>
      </c>
      <c r="I55" s="13">
        <v>1</v>
      </c>
      <c r="J55" s="13">
        <v>1</v>
      </c>
      <c r="K55" s="17">
        <v>0</v>
      </c>
    </row>
    <row r="56" spans="2:11" x14ac:dyDescent="0.3">
      <c r="B56" s="12" t="s">
        <v>13</v>
      </c>
      <c r="C56" s="13" t="s">
        <v>22</v>
      </c>
      <c r="D56" s="53">
        <v>10000</v>
      </c>
      <c r="E56" s="54" t="s">
        <v>15</v>
      </c>
      <c r="F56" s="55" t="s">
        <v>38</v>
      </c>
      <c r="G56" s="16">
        <v>1</v>
      </c>
      <c r="H56" s="13">
        <v>1</v>
      </c>
      <c r="I56" s="13">
        <v>1</v>
      </c>
      <c r="J56" s="13">
        <v>1</v>
      </c>
      <c r="K56" s="17">
        <v>0</v>
      </c>
    </row>
    <row r="57" spans="2:11" ht="15" thickBot="1" x14ac:dyDescent="0.35">
      <c r="B57" s="18" t="s">
        <v>13</v>
      </c>
      <c r="C57" s="19" t="s">
        <v>22</v>
      </c>
      <c r="D57" s="56">
        <v>10000</v>
      </c>
      <c r="E57" s="57" t="s">
        <v>15</v>
      </c>
      <c r="F57" s="58" t="s">
        <v>39</v>
      </c>
      <c r="G57" s="22">
        <v>1</v>
      </c>
      <c r="H57" s="19">
        <v>1</v>
      </c>
      <c r="I57" s="19">
        <v>1</v>
      </c>
      <c r="J57" s="19">
        <v>1</v>
      </c>
      <c r="K57" s="23">
        <v>0</v>
      </c>
    </row>
  </sheetData>
  <mergeCells count="10">
    <mergeCell ref="AI2:AM2"/>
    <mergeCell ref="AN2:AR2"/>
    <mergeCell ref="B36:F36"/>
    <mergeCell ref="G36:K36"/>
    <mergeCell ref="B2:F2"/>
    <mergeCell ref="G2:K2"/>
    <mergeCell ref="M2:Q2"/>
    <mergeCell ref="R2:V2"/>
    <mergeCell ref="X2:AB2"/>
    <mergeCell ref="AC2:AG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badanie 1</vt:lpstr>
      <vt:lpstr>badanie 2</vt:lpstr>
      <vt:lpstr>badanie 3</vt:lpstr>
      <vt:lpstr>badanie 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Winiecki (280952)</dc:creator>
  <cp:lastModifiedBy>Mikołaj Winiecki (280952)</cp:lastModifiedBy>
  <dcterms:created xsi:type="dcterms:W3CDTF">2025-04-25T13:42:39Z</dcterms:created>
  <dcterms:modified xsi:type="dcterms:W3CDTF">2025-04-27T13:10:22Z</dcterms:modified>
</cp:coreProperties>
</file>